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41860AD-A371-4BD8-8072-4C911EE99168}" xr6:coauthVersionLast="47" xr6:coauthVersionMax="47" xr10:uidLastSave="{00000000-0000-0000-0000-000000000000}"/>
  <bookViews>
    <workbookView xWindow="-110" yWindow="-110" windowWidth="19420" windowHeight="10300" xr2:uid="{8FF62ED8-A67E-423F-8325-F23DB684777C}"/>
  </bookViews>
  <sheets>
    <sheet name="Dashboard" sheetId="10" r:id="rId1"/>
    <sheet name="Line productivity" sheetId="1" r:id="rId2"/>
    <sheet name="EFFICIENCY " sheetId="9" r:id="rId3"/>
    <sheet name="Products" sheetId="8" r:id="rId4"/>
    <sheet name="Downtime factors" sheetId="3" r:id="rId5"/>
    <sheet name="Line downtime" sheetId="2" r:id="rId6"/>
  </sheets>
  <definedNames>
    <definedName name="_xlnm._FilterDatabase" localSheetId="4" hidden="1">'Downtime factors'!$A$1:$C$13</definedName>
    <definedName name="_xlnm._FilterDatabase" localSheetId="1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9" l="1"/>
  <c r="I19" i="10"/>
  <c r="J19" i="10"/>
  <c r="K19" i="10"/>
  <c r="L19" i="10"/>
  <c r="M19" i="10"/>
  <c r="N19" i="10"/>
  <c r="B20" i="10" l="1" a="1"/>
  <c r="H19" i="10"/>
  <c r="E19" i="10"/>
  <c r="F19" i="10"/>
  <c r="D19" i="10"/>
  <c r="G19" i="10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3" i="2"/>
  <c r="I41" i="1"/>
  <c r="C6" i="10"/>
  <c r="C11" i="10"/>
  <c r="C5" i="10"/>
  <c r="C9" i="10"/>
  <c r="C3" i="10"/>
  <c r="C4" i="10"/>
  <c r="C7" i="10"/>
  <c r="C13" i="10"/>
  <c r="C10" i="10"/>
  <c r="C12" i="10"/>
  <c r="C8" i="10"/>
  <c r="C14" i="10"/>
  <c r="B6" i="10"/>
  <c r="B11" i="10"/>
  <c r="B5" i="10"/>
  <c r="B9" i="10"/>
  <c r="B3" i="10"/>
  <c r="B4" i="10"/>
  <c r="B7" i="10"/>
  <c r="B13" i="10"/>
  <c r="B10" i="10"/>
  <c r="B12" i="10"/>
  <c r="B8" i="10"/>
  <c r="B14" i="10"/>
  <c r="C42" i="2"/>
  <c r="D42" i="2"/>
  <c r="E42" i="2"/>
  <c r="F42" i="2"/>
  <c r="G42" i="2"/>
  <c r="H42" i="2"/>
  <c r="I42" i="2"/>
  <c r="J42" i="2"/>
  <c r="K42" i="2"/>
  <c r="L42" i="2"/>
  <c r="M42" i="2"/>
  <c r="B42" i="2"/>
  <c r="H3" i="9" a="1"/>
  <c r="H3" i="9" s="1"/>
  <c r="I3" i="9" s="1"/>
  <c r="A3" i="9" a="1"/>
  <c r="A3" i="9" s="1"/>
  <c r="B3" i="9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  <c r="I21" i="10" l="1" a="1"/>
  <c r="I21" i="10" s="1"/>
  <c r="M21" i="10" a="1"/>
  <c r="M21" i="10" s="1"/>
  <c r="K22" i="10" a="1"/>
  <c r="K22" i="10" s="1"/>
  <c r="I23" i="10" a="1"/>
  <c r="I23" i="10" s="1"/>
  <c r="M23" i="10" a="1"/>
  <c r="M23" i="10" s="1"/>
  <c r="L21" i="10" a="1"/>
  <c r="L21" i="10" s="1"/>
  <c r="J21" i="10" a="1"/>
  <c r="J21" i="10" s="1"/>
  <c r="N21" i="10" a="1"/>
  <c r="N21" i="10" s="1"/>
  <c r="L22" i="10" a="1"/>
  <c r="L22" i="10" s="1"/>
  <c r="J23" i="10" a="1"/>
  <c r="J23" i="10" s="1"/>
  <c r="N23" i="10" a="1"/>
  <c r="N23" i="10" s="1"/>
  <c r="J22" i="10" a="1"/>
  <c r="J22" i="10" s="1"/>
  <c r="N22" i="10" a="1"/>
  <c r="N22" i="10" s="1"/>
  <c r="K21" i="10" a="1"/>
  <c r="K21" i="10" s="1"/>
  <c r="I22" i="10" a="1"/>
  <c r="I22" i="10" s="1"/>
  <c r="M22" i="10" a="1"/>
  <c r="M22" i="10" s="1"/>
  <c r="K23" i="10" a="1"/>
  <c r="K23" i="10" s="1"/>
  <c r="L23" i="10" a="1"/>
  <c r="L23" i="10" s="1"/>
  <c r="B20" i="10"/>
  <c r="G20" i="10" s="1" a="1"/>
  <c r="G20" i="10" s="1"/>
  <c r="H23" i="10" a="1"/>
  <c r="H23" i="10" s="1"/>
  <c r="F23" i="10" a="1"/>
  <c r="F23" i="10" s="1"/>
  <c r="D22" i="10" a="1"/>
  <c r="D22" i="10" s="1"/>
  <c r="H22" i="10" a="1"/>
  <c r="H22" i="10" s="1"/>
  <c r="E22" i="10" a="1"/>
  <c r="E22" i="10" s="1"/>
  <c r="G22" i="10" a="1"/>
  <c r="G22" i="10" s="1"/>
  <c r="G23" i="10" a="1"/>
  <c r="G23" i="10" s="1"/>
  <c r="D23" i="10" a="1"/>
  <c r="D23" i="10" s="1"/>
  <c r="E23" i="10" a="1"/>
  <c r="E23" i="10" s="1"/>
  <c r="F22" i="10" a="1"/>
  <c r="F22" i="10" s="1"/>
  <c r="F21" i="10" a="1"/>
  <c r="F21" i="10" s="1"/>
  <c r="H21" i="10" a="1"/>
  <c r="H21" i="10" s="1"/>
  <c r="E21" i="10" a="1"/>
  <c r="E21" i="10" s="1"/>
  <c r="D21" i="10" a="1"/>
  <c r="D21" i="10" s="1"/>
  <c r="G21" i="10" a="1"/>
  <c r="G21" i="10" s="1"/>
  <c r="B6" i="9"/>
  <c r="I7" i="9"/>
  <c r="I6" i="9"/>
  <c r="B4" i="9"/>
  <c r="I5" i="9"/>
  <c r="B5" i="9"/>
  <c r="I8" i="9"/>
  <c r="I4" i="9"/>
  <c r="H20" i="10" l="1" a="1"/>
  <c r="H20" i="10" s="1"/>
  <c r="F20" i="10" a="1"/>
  <c r="F20" i="10" s="1"/>
  <c r="F24" i="10" s="1"/>
  <c r="G24" i="10"/>
  <c r="K20" i="10" a="1"/>
  <c r="K20" i="10" s="1"/>
  <c r="K24" i="10" s="1"/>
  <c r="J20" i="10" a="1"/>
  <c r="J20" i="10" s="1"/>
  <c r="J24" i="10" s="1"/>
  <c r="L20" i="10" a="1"/>
  <c r="L20" i="10" s="1"/>
  <c r="L24" i="10" s="1"/>
  <c r="N20" i="10" a="1"/>
  <c r="N20" i="10" s="1"/>
  <c r="N24" i="10" s="1"/>
  <c r="I20" i="10" a="1"/>
  <c r="I20" i="10" s="1"/>
  <c r="I24" i="10" s="1"/>
  <c r="M20" i="10" a="1"/>
  <c r="M20" i="10" s="1"/>
  <c r="M24" i="10" s="1"/>
  <c r="E20" i="10" a="1"/>
  <c r="E20" i="10" s="1"/>
  <c r="E24" i="10" s="1"/>
  <c r="D20" i="10" a="1"/>
  <c r="D20" i="10" s="1"/>
  <c r="D24" i="10" s="1"/>
  <c r="O23" i="10"/>
  <c r="O22" i="10"/>
  <c r="H24" i="10"/>
  <c r="O21" i="10"/>
  <c r="O20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<sst xmlns="http://schemas.openxmlformats.org/spreadsheetml/2006/main" count="149" uniqueCount="59">
  <si>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</si>
  <si>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</si>
  <si>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</si>
  <si>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</si>
  <si>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</si>
  <si>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</si>
  <si>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</si>
  <si>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</si>
  <si>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</si>
  <si>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</si>
  <si>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</si>
  <si>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</si>
  <si>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</si>
  <si>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</si>
  <si>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</si>
  <si>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</si>
  <si>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</si>
  <si>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</si>
  <si>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</si>
  <si>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</si>
  <si>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</si>
  <si>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</si>
  <si>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</si>
  <si>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</si>
  <si>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</si>
  <si>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</si>
  <si>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</si>
  <si>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</si>
  <si>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</si>
  <si>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</si>
  <si>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</si>
  <si>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</si>
  <si>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</si>
  <si>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</si>
  <si>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</si>
  <si>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</si>
  <si>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</si>
  <si>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</si>
  <si>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</si>
  <si>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</si>
  <si>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</si>
  <si>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</si>
  <si>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</si>
  <si>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</si>
  <si>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 xml:space="preserve">Time Taken </t>
  </si>
  <si>
    <t>Min Batch Time</t>
  </si>
  <si>
    <t>Efficiency (%)</t>
  </si>
  <si>
    <t>OPERATOR</t>
  </si>
  <si>
    <t xml:space="preserve">AVERAGE EFFICIENCY </t>
  </si>
  <si>
    <t>EFFICIENCY BY OPERATOR</t>
  </si>
  <si>
    <t xml:space="preserve">EFFICIENCY BY PRODUCT </t>
  </si>
  <si>
    <t>PRODUCT</t>
  </si>
  <si>
    <t xml:space="preserve">TOTAL </t>
  </si>
  <si>
    <t xml:space="preserve">FACTOR </t>
  </si>
  <si>
    <t>TOTAL MINUTES</t>
  </si>
  <si>
    <t xml:space="preserve">DOWNTIME BY FACTOR </t>
  </si>
  <si>
    <t xml:space="preserve">OPERATOR 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</si>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</sst>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DOWNTIME BY FACTOR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Dashboard!$C$1:$C$2</c:f>
              <c:strCache>
                <c:ptCount val="2"/>
                <c:pt idx="0">
                  <c:v>DOWNTIME BY FACTOR </c:v>
                </c:pt>
                <c:pt idx="1">
                  <c:v>TOTAL 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Dashboard!$B$3:$B$14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Dashboard!$C$3:$C$14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4-42DB-82F0-4144C6E44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199119"/>
        <c:axId val="473200367"/>
      </c:barChart>
      <c:catAx>
        <c:axId val="47319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00367"/>
        <c:crosses val="autoZero"/>
        <c:auto val="1"/>
        <c:lblAlgn val="ctr"/>
        <c:lblOffset val="100"/>
        <c:noMultiLvlLbl val="0"/>
      </c:catAx>
      <c:valAx>
        <c:axId val="47320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MNUTES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19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Manufacturing</a:t>
            </a:r>
            <a:r>
              <a:rPr lang="en-US" baseline="0"/>
              <a:t> Downtime by Factor and Minutes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Dashboard!$B$20:$C$20</c:f>
              <c:strCache>
                <c:ptCount val="2"/>
                <c:pt idx="0">
                  <c:v>Mac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Dashboard!$D$19:$N$19</c:f>
              <c:strCache>
                <c:ptCount val="11"/>
                <c:pt idx="0">
                  <c:v>Batch change</c:v>
                </c:pt>
                <c:pt idx="1">
                  <c:v>Labeling error</c:v>
                </c:pt>
                <c:pt idx="2">
                  <c:v>Inventory shortage</c:v>
                </c:pt>
                <c:pt idx="3">
                  <c:v>Product spill</c:v>
                </c:pt>
                <c:pt idx="4">
                  <c:v>Machine adjustment</c:v>
                </c:pt>
                <c:pt idx="5">
                  <c:v>Machine failure</c:v>
                </c:pt>
                <c:pt idx="6">
                  <c:v>Batch coding error</c:v>
                </c:pt>
                <c:pt idx="7">
                  <c:v>Conveyor belt jam</c:v>
                </c:pt>
                <c:pt idx="8">
                  <c:v>Calibration error</c:v>
                </c:pt>
                <c:pt idx="9">
                  <c:v>Label switch</c:v>
                </c:pt>
                <c:pt idx="10">
                  <c:v>Other</c:v>
                </c:pt>
              </c:strCache>
            </c:strRef>
          </c:cat>
          <c:val>
            <c:numRef>
              <c:f>Dashboard!$D$20:$N$20</c:f>
              <c:numCache>
                <c:formatCode>General</c:formatCode>
                <c:ptCount val="11"/>
                <c:pt idx="0">
                  <c:v>130</c:v>
                </c:pt>
                <c:pt idx="1">
                  <c:v>0</c:v>
                </c:pt>
                <c:pt idx="2">
                  <c:v>80</c:v>
                </c:pt>
                <c:pt idx="3">
                  <c:v>0</c:v>
                </c:pt>
                <c:pt idx="4">
                  <c:v>15</c:v>
                </c:pt>
                <c:pt idx="5">
                  <c:v>45</c:v>
                </c:pt>
                <c:pt idx="6">
                  <c:v>47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F-42E1-8B5B-782673AAC488}"/>
            </c:ext>
          </c:extLst>
        </c:ser>
        <c:ser>
          <c:idx val="1"/>
          <c:order val="1"/>
          <c:tx>
            <c:strRef>
              <c:f>Dashboard!$B$21:$C$21</c:f>
              <c:strCache>
                <c:ptCount val="2"/>
                <c:pt idx="0">
                  <c:v>Charlie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Dashboard!$D$19:$N$19</c:f>
              <c:strCache>
                <c:ptCount val="11"/>
                <c:pt idx="0">
                  <c:v>Batch change</c:v>
                </c:pt>
                <c:pt idx="1">
                  <c:v>Labeling error</c:v>
                </c:pt>
                <c:pt idx="2">
                  <c:v>Inventory shortage</c:v>
                </c:pt>
                <c:pt idx="3">
                  <c:v>Product spill</c:v>
                </c:pt>
                <c:pt idx="4">
                  <c:v>Machine adjustment</c:v>
                </c:pt>
                <c:pt idx="5">
                  <c:v>Machine failure</c:v>
                </c:pt>
                <c:pt idx="6">
                  <c:v>Batch coding error</c:v>
                </c:pt>
                <c:pt idx="7">
                  <c:v>Conveyor belt jam</c:v>
                </c:pt>
                <c:pt idx="8">
                  <c:v>Calibration error</c:v>
                </c:pt>
                <c:pt idx="9">
                  <c:v>Label switch</c:v>
                </c:pt>
                <c:pt idx="10">
                  <c:v>Other</c:v>
                </c:pt>
              </c:strCache>
            </c:strRef>
          </c:cat>
          <c:val>
            <c:numRef>
              <c:f>Dashboard!$D$21:$N$21</c:f>
              <c:numCache>
                <c:formatCode>General</c:formatCode>
                <c:ptCount val="11"/>
                <c:pt idx="0">
                  <c:v>10</c:v>
                </c:pt>
                <c:pt idx="1">
                  <c:v>22</c:v>
                </c:pt>
                <c:pt idx="2">
                  <c:v>17</c:v>
                </c:pt>
                <c:pt idx="3">
                  <c:v>22</c:v>
                </c:pt>
                <c:pt idx="4">
                  <c:v>118</c:v>
                </c:pt>
                <c:pt idx="5">
                  <c:v>85</c:v>
                </c:pt>
                <c:pt idx="6">
                  <c:v>44</c:v>
                </c:pt>
                <c:pt idx="7">
                  <c:v>0</c:v>
                </c:pt>
                <c:pt idx="8">
                  <c:v>24</c:v>
                </c:pt>
                <c:pt idx="9">
                  <c:v>10</c:v>
                </c:pt>
                <c:pt idx="1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F-42E1-8B5B-782673AAC488}"/>
            </c:ext>
          </c:extLst>
        </c:ser>
        <c:ser>
          <c:idx val="2"/>
          <c:order val="2"/>
          <c:tx>
            <c:strRef>
              <c:f>Dashboard!$B$22:$C$22</c:f>
              <c:strCache>
                <c:ptCount val="2"/>
                <c:pt idx="0">
                  <c:v>Dee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Dashboard!$D$19:$N$19</c:f>
              <c:strCache>
                <c:ptCount val="11"/>
                <c:pt idx="0">
                  <c:v>Batch change</c:v>
                </c:pt>
                <c:pt idx="1">
                  <c:v>Labeling error</c:v>
                </c:pt>
                <c:pt idx="2">
                  <c:v>Inventory shortage</c:v>
                </c:pt>
                <c:pt idx="3">
                  <c:v>Product spill</c:v>
                </c:pt>
                <c:pt idx="4">
                  <c:v>Machine adjustment</c:v>
                </c:pt>
                <c:pt idx="5">
                  <c:v>Machine failure</c:v>
                </c:pt>
                <c:pt idx="6">
                  <c:v>Batch coding error</c:v>
                </c:pt>
                <c:pt idx="7">
                  <c:v>Conveyor belt jam</c:v>
                </c:pt>
                <c:pt idx="8">
                  <c:v>Calibration error</c:v>
                </c:pt>
                <c:pt idx="9">
                  <c:v>Label switch</c:v>
                </c:pt>
                <c:pt idx="10">
                  <c:v>Other</c:v>
                </c:pt>
              </c:strCache>
            </c:strRef>
          </c:cat>
          <c:val>
            <c:numRef>
              <c:f>Dashboard!$D$22:$N$22</c:f>
              <c:numCache>
                <c:formatCode>General</c:formatCode>
                <c:ptCount val="11"/>
                <c:pt idx="0">
                  <c:v>20</c:v>
                </c:pt>
                <c:pt idx="1">
                  <c:v>20</c:v>
                </c:pt>
                <c:pt idx="2">
                  <c:v>85</c:v>
                </c:pt>
                <c:pt idx="3">
                  <c:v>15</c:v>
                </c:pt>
                <c:pt idx="4">
                  <c:v>79</c:v>
                </c:pt>
                <c:pt idx="5">
                  <c:v>36</c:v>
                </c:pt>
                <c:pt idx="6">
                  <c:v>30</c:v>
                </c:pt>
                <c:pt idx="7">
                  <c:v>17</c:v>
                </c:pt>
                <c:pt idx="8">
                  <c:v>25</c:v>
                </c:pt>
                <c:pt idx="9">
                  <c:v>23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6F-42E1-8B5B-782673AAC488}"/>
            </c:ext>
          </c:extLst>
        </c:ser>
        <c:ser>
          <c:idx val="3"/>
          <c:order val="3"/>
          <c:tx>
            <c:strRef>
              <c:f>Dashboard!$B$23:$C$23</c:f>
              <c:strCache>
                <c:ptCount val="2"/>
                <c:pt idx="0">
                  <c:v>Dennis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Dashboard!$D$19:$N$19</c:f>
              <c:strCache>
                <c:ptCount val="11"/>
                <c:pt idx="0">
                  <c:v>Batch change</c:v>
                </c:pt>
                <c:pt idx="1">
                  <c:v>Labeling error</c:v>
                </c:pt>
                <c:pt idx="2">
                  <c:v>Inventory shortage</c:v>
                </c:pt>
                <c:pt idx="3">
                  <c:v>Product spill</c:v>
                </c:pt>
                <c:pt idx="4">
                  <c:v>Machine adjustment</c:v>
                </c:pt>
                <c:pt idx="5">
                  <c:v>Machine failure</c:v>
                </c:pt>
                <c:pt idx="6">
                  <c:v>Batch coding error</c:v>
                </c:pt>
                <c:pt idx="7">
                  <c:v>Conveyor belt jam</c:v>
                </c:pt>
                <c:pt idx="8">
                  <c:v>Calibration error</c:v>
                </c:pt>
                <c:pt idx="9">
                  <c:v>Label switch</c:v>
                </c:pt>
                <c:pt idx="10">
                  <c:v>Other</c:v>
                </c:pt>
              </c:strCache>
            </c:strRef>
          </c:cat>
          <c:val>
            <c:numRef>
              <c:f>Dashboard!$D$23:$N$23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43</c:v>
                </c:pt>
                <c:pt idx="3">
                  <c:v>20</c:v>
                </c:pt>
                <c:pt idx="4">
                  <c:v>120</c:v>
                </c:pt>
                <c:pt idx="5">
                  <c:v>88</c:v>
                </c:pt>
                <c:pt idx="6">
                  <c:v>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6F-42E1-8B5B-782673AAC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851695"/>
        <c:axId val="192850447"/>
      </c:barChart>
      <c:catAx>
        <c:axId val="192851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</a:t>
                </a:r>
                <a:r>
                  <a:rPr lang="en-US" baseline="0"/>
                  <a:t> Factors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0447"/>
        <c:crosses val="autoZero"/>
        <c:auto val="1"/>
        <c:lblAlgn val="ctr"/>
        <c:lblOffset val="100"/>
        <c:noMultiLvlLbl val="0"/>
      </c:catAx>
      <c:valAx>
        <c:axId val="19285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'EFFICIENCY '!$B$1:$B$2</c:f>
              <c:strCache>
                <c:ptCount val="2"/>
                <c:pt idx="0">
                  <c:v>EFFICIENCY BY OPERATOR</c:v>
                </c:pt>
                <c:pt idx="1">
                  <c:v>AVERAGE EFFICIENCY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'EFFICIENCY '!$A$3:$A$8</c:f>
              <c:strCache>
                <c:ptCount val="6"/>
                <c:pt idx="0">
                  <c:v>Mac</c:v>
                </c:pt>
                <c:pt idx="1">
                  <c:v>Charlie</c:v>
                </c:pt>
                <c:pt idx="2">
                  <c:v>Dee</c:v>
                </c:pt>
                <c:pt idx="3">
                  <c:v>Dennis</c:v>
                </c:pt>
                <c:pt idx="5">
                  <c:v>AVERAGE</c:v>
                </c:pt>
              </c:strCache>
            </c:strRef>
          </c:cat>
          <c:val>
            <c:numRef>
              <c:f>'EFFICIENCY '!$B$3:$B$8</c:f>
              <c:numCache>
                <c:formatCode>0</c:formatCode>
                <c:ptCount val="6"/>
                <c:pt idx="0">
                  <c:v>63.257853257853284</c:v>
                </c:pt>
                <c:pt idx="1">
                  <c:v>65.905133069910832</c:v>
                </c:pt>
                <c:pt idx="2">
                  <c:v>66.809779110617285</c:v>
                </c:pt>
                <c:pt idx="3">
                  <c:v>70.973000821296438</c:v>
                </c:pt>
                <c:pt idx="5">
                  <c:v>66.73644156491946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D-443C-B849-43D7321F8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9165199"/>
        <c:axId val="349166031"/>
      </c:barChart>
      <c:catAx>
        <c:axId val="3491651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66031"/>
        <c:crosses val="autoZero"/>
        <c:auto val="1"/>
        <c:lblAlgn val="ctr"/>
        <c:lblOffset val="100"/>
        <c:noMultiLvlLbl val="0"/>
      </c:catAx>
      <c:valAx>
        <c:axId val="34916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EFFICIENCY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6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BY PRODUCT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'EFFICIENCY '!$I$1:$I$2</c:f>
              <c:strCache>
                <c:ptCount val="2"/>
                <c:pt idx="0">
                  <c:v>EFFICIENCY BY PRODUCT </c:v>
                </c:pt>
                <c:pt idx="1">
                  <c:v>AVERAGE EFFICIENCY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'EFFICIENCY '!$H$3:$H$8</c:f>
              <c:strCache>
                <c:ptCount val="6"/>
                <c:pt idx="0">
                  <c:v>OR-600</c:v>
                </c:pt>
                <c:pt idx="1">
                  <c:v>LE-600</c:v>
                </c:pt>
                <c:pt idx="2">
                  <c:v>CO-600</c:v>
                </c:pt>
                <c:pt idx="3">
                  <c:v>DC-600</c:v>
                </c:pt>
                <c:pt idx="4">
                  <c:v>RB-600</c:v>
                </c:pt>
                <c:pt idx="5">
                  <c:v>CO-2L</c:v>
                </c:pt>
              </c:strCache>
            </c:strRef>
          </c:cat>
          <c:val>
            <c:numRef>
              <c:f>'EFFICIENCY '!$I$3:$I$8</c:f>
              <c:numCache>
                <c:formatCode>0</c:formatCode>
                <c:ptCount val="6"/>
                <c:pt idx="0">
                  <c:v>44.444444444444443</c:v>
                </c:pt>
                <c:pt idx="1">
                  <c:v>70.99567099567102</c:v>
                </c:pt>
                <c:pt idx="2">
                  <c:v>67.338682711430678</c:v>
                </c:pt>
                <c:pt idx="3">
                  <c:v>71.67207792207796</c:v>
                </c:pt>
                <c:pt idx="4">
                  <c:v>64.449657540618958</c:v>
                </c:pt>
                <c:pt idx="5">
                  <c:v>66.115968862117782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1-44EF-A001-56022AE77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3991743"/>
        <c:axId val="483997151"/>
      </c:barChart>
      <c:catAx>
        <c:axId val="483991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97151"/>
        <c:crosses val="autoZero"/>
        <c:auto val="1"/>
        <c:lblAlgn val="ctr"/>
        <c:lblOffset val="100"/>
        <c:noMultiLvlLbl val="0"/>
      </c:catAx>
      <c:valAx>
        <c:axId val="48399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EFFICIENCY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9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0</xdr:row>
      <xdr:rowOff>152400</xdr:rowOff>
    </xdr:from>
    <xdr:to>
      <xdr:col>8</xdr:col>
      <xdr:colOff>276225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075A3D-49B3-458E-B643-0A7CBBB4B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144461</xdr:colOff>
      <xdr:row>24</xdr:row>
      <xdr:rowOff>133348</xdr:rowOff>
    </xdr:from>
    <xdr:to>
      <xdr:col>11</xdr:col>
      <xdr:colOff>149224</xdr:colOff>
      <xdr:row>48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3DEFDD-169F-4896-B60E-AD1BD6219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</xdr:colOff>
      <xdr:row>9</xdr:row>
      <xdr:rowOff>38100</xdr:rowOff>
    </xdr:from>
    <xdr:to>
      <xdr:col>5</xdr:col>
      <xdr:colOff>4762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9003B-3A0B-4EE3-853C-B9E9285E3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271462</xdr:colOff>
      <xdr:row>9</xdr:row>
      <xdr:rowOff>57150</xdr:rowOff>
    </xdr:from>
    <xdr:to>
      <xdr:col>11</xdr:col>
      <xdr:colOff>242887</xdr:colOff>
      <xdr:row>24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D6DA89-BB39-46AB-BDD6-C6A2052E9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F500-1E85-44D2-BCDB-05CA221B2882}">
  <dimension ref="A1:O24"/>
  <sheetViews>
    <sheetView tabSelected="1" topLeftCell="A26" zoomScale="90" zoomScaleNormal="90" workbookViewId="0">
      <selection activeCell="B44" sqref="B44"/>
    </sheetView>
  </sheetViews>
  <sheetFormatPr defaultRowHeight="14.5" x14ac:dyDescent="0.35"/>
  <cols>
    <col min="2" max="2" width="17.36328125" customWidth="1"/>
    <col min="3" max="3" width="14.90625" customWidth="1"/>
    <col min="4" max="4" width="12.08984375" bestFit="1" customWidth="1"/>
    <col min="5" max="5" width="12" bestFit="1" customWidth="1"/>
    <col min="6" max="6" width="15.90625" bestFit="1" customWidth="1"/>
    <col min="7" max="7" width="10.90625" bestFit="1" customWidth="1"/>
    <col min="8" max="8" width="17.36328125" bestFit="1" customWidth="1"/>
    <col min="9" max="9" width="13.08984375" bestFit="1" customWidth="1"/>
    <col min="10" max="10" width="16" bestFit="1" customWidth="1"/>
    <col min="11" max="11" width="15.6328125" bestFit="1" customWidth="1"/>
    <col min="12" max="12" width="14" bestFit="1" customWidth="1"/>
    <col min="13" max="13" width="11" bestFit="1" customWidth="1"/>
    <col min="14" max="14" width="5.453125" customWidth="1"/>
  </cols>
  <sheetData>
    <row r="1" spans="1:3" x14ac:dyDescent="0.35">
      <c r="B1" s="5" t="s">
        <v>55</v>
      </c>
      <c r="C1" s="5"/>
    </row>
    <row r="2" spans="1:3" x14ac:dyDescent="0.35">
      <c r="B2" t="s">
        <v>53</v>
      </c>
      <c r="C2" t="s">
        <v>54</v>
      </c>
    </row>
    <row r="3" spans="1:3" x14ac:dyDescent="0.35">
      <c r="A3">
        <v>6</v>
      </c>
      <c r="B3" t="str">
        <f>_xlfn.XLOOKUP(A3,'Downtime factors'!A7:A18,'Downtime factors'!B7:B18)</f>
        <v>Machine adjustment</v>
      </c>
      <c r="C3">
        <f>_xlfn.XLOOKUP(A3,'Line downtime'!$B$2:$M$2,'Line downtime'!$B$42:$M$42)</f>
        <v>332</v>
      </c>
    </row>
    <row r="4" spans="1:3" x14ac:dyDescent="0.35">
      <c r="A4">
        <v>7</v>
      </c>
      <c r="B4" t="str">
        <f>_xlfn.XLOOKUP(A4,'Downtime factors'!A8:A19,'Downtime factors'!B8:B19)</f>
        <v>Machine failure</v>
      </c>
      <c r="C4">
        <f>_xlfn.XLOOKUP(A4,'Line downtime'!$B$2:$M$2,'Line downtime'!$B$42:$M$42)</f>
        <v>254</v>
      </c>
    </row>
    <row r="5" spans="1:3" x14ac:dyDescent="0.35">
      <c r="A5">
        <v>4</v>
      </c>
      <c r="B5" t="str">
        <f>_xlfn.XLOOKUP(A5,'Downtime factors'!A5:A16,'Downtime factors'!B5:B16)</f>
        <v>Inventory shortage</v>
      </c>
      <c r="C5">
        <f>_xlfn.XLOOKUP(A5,'Line downtime'!$B$2:$M$2,'Line downtime'!$B$42:$M$42)</f>
        <v>225</v>
      </c>
    </row>
    <row r="6" spans="1:3" x14ac:dyDescent="0.35">
      <c r="A6">
        <v>2</v>
      </c>
      <c r="B6" t="str">
        <f>_xlfn.XLOOKUP(A6,'Downtime factors'!A3:A14,'Downtime factors'!B3:B14)</f>
        <v>Batch change</v>
      </c>
      <c r="C6">
        <f>_xlfn.XLOOKUP(A6,'Line downtime'!$B$2:$M$2,'Line downtime'!$B$42:$M$42)</f>
        <v>160</v>
      </c>
    </row>
    <row r="7" spans="1:3" x14ac:dyDescent="0.35">
      <c r="A7">
        <v>8</v>
      </c>
      <c r="B7" t="str">
        <f>_xlfn.XLOOKUP(A7,'Downtime factors'!A9:A20,'Downtime factors'!B9:B20)</f>
        <v>Batch coding error</v>
      </c>
      <c r="C7">
        <f>_xlfn.XLOOKUP(A7,'Line downtime'!$B$2:$M$2,'Line downtime'!$B$42:$M$42)</f>
        <v>145</v>
      </c>
    </row>
    <row r="8" spans="1:3" x14ac:dyDescent="0.35">
      <c r="A8">
        <v>12</v>
      </c>
      <c r="B8" t="str">
        <f>_xlfn.XLOOKUP(A8,'Downtime factors'!A13:A24,'Downtime factors'!B13:B24)</f>
        <v>Other</v>
      </c>
      <c r="C8">
        <f>_xlfn.XLOOKUP(A8,'Line downtime'!$B$2:$M$2,'Line downtime'!$B$42:$M$42)</f>
        <v>74</v>
      </c>
    </row>
    <row r="9" spans="1:3" x14ac:dyDescent="0.35">
      <c r="A9">
        <v>5</v>
      </c>
      <c r="B9" t="str">
        <f>_xlfn.XLOOKUP(A9,'Downtime factors'!A6:A17,'Downtime factors'!B6:B17)</f>
        <v>Product spill</v>
      </c>
      <c r="C9">
        <f>_xlfn.XLOOKUP(A9,'Line downtime'!$B$2:$M$2,'Line downtime'!$B$42:$M$42)</f>
        <v>57</v>
      </c>
    </row>
    <row r="10" spans="1:3" x14ac:dyDescent="0.35">
      <c r="A10">
        <v>10</v>
      </c>
      <c r="B10" t="str">
        <f>_xlfn.XLOOKUP(A10,'Downtime factors'!A11:A22,'Downtime factors'!B11:B22)</f>
        <v>Calibration error</v>
      </c>
      <c r="C10">
        <f>_xlfn.XLOOKUP(A10,'Line downtime'!$B$2:$M$2,'Line downtime'!$B$42:$M$42)</f>
        <v>49</v>
      </c>
    </row>
    <row r="11" spans="1:3" x14ac:dyDescent="0.35">
      <c r="A11">
        <v>3</v>
      </c>
      <c r="B11" t="str">
        <f>_xlfn.XLOOKUP(A11,'Downtime factors'!A4:A15,'Downtime factors'!B4:B15)</f>
        <v>Labeling error</v>
      </c>
      <c r="C11">
        <f>_xlfn.XLOOKUP(A11,'Line downtime'!$B$2:$M$2,'Line downtime'!$B$42:$M$42)</f>
        <v>42</v>
      </c>
    </row>
    <row r="12" spans="1:3" x14ac:dyDescent="0.35">
      <c r="A12">
        <v>11</v>
      </c>
      <c r="B12" t="str">
        <f>_xlfn.XLOOKUP(A12,'Downtime factors'!A12:A23,'Downtime factors'!B12:B23)</f>
        <v>Label switch</v>
      </c>
      <c r="C12">
        <f>_xlfn.XLOOKUP(A12,'Line downtime'!$B$2:$M$2,'Line downtime'!$B$42:$M$42)</f>
        <v>33</v>
      </c>
    </row>
    <row r="13" spans="1:3" x14ac:dyDescent="0.35">
      <c r="A13">
        <v>9</v>
      </c>
      <c r="B13" t="str">
        <f>_xlfn.XLOOKUP(A13,'Downtime factors'!A10:A21,'Downtime factors'!B10:B21)</f>
        <v>Conveyor belt jam</v>
      </c>
      <c r="C13">
        <f>_xlfn.XLOOKUP(A13,'Line downtime'!$B$2:$M$2,'Line downtime'!$B$42:$M$42)</f>
        <v>17</v>
      </c>
    </row>
    <row r="14" spans="1:3" x14ac:dyDescent="0.35">
      <c r="A14">
        <v>1</v>
      </c>
      <c r="B14" t="str">
        <f>_xlfn.XLOOKUP(A14,'Downtime factors'!A2:A13,'Downtime factors'!B2:B13)</f>
        <v>Emergency stop</v>
      </c>
      <c r="C14">
        <f>_xlfn.XLOOKUP(A14,'Line downtime'!$B$2:$M$2,'Line downtime'!$B$42:$M$42)</f>
        <v>0</v>
      </c>
    </row>
    <row r="18" spans="2:15" x14ac:dyDescent="0.35"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  <c r="L18">
        <v>10</v>
      </c>
      <c r="M18">
        <v>11</v>
      </c>
      <c r="N18">
        <v>12</v>
      </c>
    </row>
    <row r="19" spans="2:15" x14ac:dyDescent="0.35">
      <c r="D19" t="str">
        <f>_xlfn.XLOOKUP(D18,'Downtime factors'!$A$2:$A$13,'Downtime factors'!$B$2:$B$13)</f>
        <v>Batch change</v>
      </c>
      <c r="E19" t="str">
        <f>_xlfn.XLOOKUP(E18,'Downtime factors'!$A$2:$A$13,'Downtime factors'!$B$2:$B$13)</f>
        <v>Labeling error</v>
      </c>
      <c r="F19" t="str">
        <f>_xlfn.XLOOKUP(F18,'Downtime factors'!$A$2:$A$13,'Downtime factors'!$B$2:$B$13)</f>
        <v>Inventory shortage</v>
      </c>
      <c r="G19" t="str">
        <f>_xlfn.XLOOKUP(G18,'Downtime factors'!$A$2:$A$13,'Downtime factors'!$B$2:$B$13)</f>
        <v>Product spill</v>
      </c>
      <c r="H19" t="str">
        <f>_xlfn.XLOOKUP(H18,'Downtime factors'!$A$2:$A$13,'Downtime factors'!$B$2:$B$13)</f>
        <v>Machine adjustment</v>
      </c>
      <c r="I19" t="str">
        <f>_xlfn.XLOOKUP(I18,'Downtime factors'!$A$2:$A$13,'Downtime factors'!$B$2:$B$13)</f>
        <v>Machine failure</v>
      </c>
      <c r="J19" t="str">
        <f>_xlfn.XLOOKUP(J18,'Downtime factors'!$A$2:$A$13,'Downtime factors'!$B$2:$B$13)</f>
        <v>Batch coding error</v>
      </c>
      <c r="K19" t="str">
        <f>_xlfn.XLOOKUP(K18,'Downtime factors'!$A$2:$A$13,'Downtime factors'!$B$2:$B$13)</f>
        <v>Conveyor belt jam</v>
      </c>
      <c r="L19" t="str">
        <f>_xlfn.XLOOKUP(L18,'Downtime factors'!$A$2:$A$13,'Downtime factors'!$B$2:$B$13)</f>
        <v>Calibration error</v>
      </c>
      <c r="M19" t="str">
        <f>_xlfn.XLOOKUP(M18,'Downtime factors'!$A$2:$A$13,'Downtime factors'!$B$2:$B$13)</f>
        <v>Label switch</v>
      </c>
      <c r="N19" t="str">
        <f>_xlfn.XLOOKUP(N18,'Downtime factors'!$A$2:$A$13,'Downtime factors'!$B$2:$B$13)</f>
        <v>Other</v>
      </c>
      <c r="O19" t="s">
        <v>57</v>
      </c>
    </row>
    <row r="20" spans="2:15" x14ac:dyDescent="0.35">
      <c r="B20" t="str" cm="1">
        <f t="array" ref="B20:B23">_xlfn.UNIQUE('Line downtime'!N3:N40)</f>
        <v>Mac</v>
      </c>
      <c r="D20" cm="1">
        <f t="array" ref="D20">SUMPRODUCT(('Line downtime'!$N$3:$N$40=$B20)*('Line downtime'!$B$2:$M$2=D$18)*'Line downtime'!$B$3:$M$40)</f>
        <v>130</v>
      </c>
      <c r="E20" cm="1">
        <f t="array" ref="E20">SUMPRODUCT(('Line downtime'!$N$3:$N$40=$B20)*('Line downtime'!$B$2:$M$2=E$18)*'Line downtime'!$B$3:$M$40)</f>
        <v>0</v>
      </c>
      <c r="F20" cm="1">
        <f t="array" ref="F20">SUMPRODUCT(('Line downtime'!$N$3:$N$40=$B20)*('Line downtime'!$B$2:$M$2=F$18)*'Line downtime'!$B$3:$M$40)</f>
        <v>80</v>
      </c>
      <c r="G20" cm="1">
        <f t="array" ref="G20">SUMPRODUCT(('Line downtime'!$N$3:$N$40=$B20)*('Line downtime'!$B$2:$M$2=G$18)*'Line downtime'!$B$3:$M$40)</f>
        <v>0</v>
      </c>
      <c r="H20" cm="1">
        <f t="array" ref="H20">SUMPRODUCT(('Line downtime'!$N$3:$N$40=$B20)*('Line downtime'!$B$2:$M$2=H$18)*'Line downtime'!$B$3:$M$40)</f>
        <v>15</v>
      </c>
      <c r="I20" cm="1">
        <f t="array" ref="I20">SUMPRODUCT(('Line downtime'!$N$3:$N$40=$B20)*('Line downtime'!$B$2:$M$2=I$18)*'Line downtime'!$B$3:$M$40)</f>
        <v>45</v>
      </c>
      <c r="J20" cm="1">
        <f t="array" ref="J20">SUMPRODUCT(('Line downtime'!$N$3:$N$40=$B20)*('Line downtime'!$B$2:$M$2=J$18)*'Line downtime'!$B$3:$M$40)</f>
        <v>47</v>
      </c>
      <c r="K20" cm="1">
        <f t="array" ref="K20">SUMPRODUCT(('Line downtime'!$N$3:$N$40=$B20)*('Line downtime'!$B$2:$M$2=K$18)*'Line downtime'!$B$3:$M$40)</f>
        <v>0</v>
      </c>
      <c r="L20" cm="1">
        <f t="array" ref="L20">SUMPRODUCT(('Line downtime'!$N$3:$N$40=$B20)*('Line downtime'!$B$2:$M$2=L$18)*'Line downtime'!$B$3:$M$40)</f>
        <v>0</v>
      </c>
      <c r="M20" cm="1">
        <f t="array" ref="M20">SUMPRODUCT(('Line downtime'!$N$3:$N$40=$B20)*('Line downtime'!$B$2:$M$2=M$18)*'Line downtime'!$B$3:$M$40)</f>
        <v>0</v>
      </c>
      <c r="N20" cm="1">
        <f t="array" ref="N20">SUMPRODUCT(('Line downtime'!$N$3:$N$40=$B20)*('Line downtime'!$B$2:$M$2=N$18)*'Line downtime'!$B$3:$M$40)</f>
        <v>15</v>
      </c>
      <c r="O20">
        <f>SUM(D20:N20)</f>
        <v>332</v>
      </c>
    </row>
    <row r="21" spans="2:15" x14ac:dyDescent="0.35">
      <c r="B21" t="str">
        <v>Charlie</v>
      </c>
      <c r="D21" cm="1">
        <f t="array" ref="D21">SUMPRODUCT(('Line downtime'!$N$3:$N$40=$B21)*('Line downtime'!$B$2:$M$2=D$18)*'Line downtime'!$B$3:$M$40)</f>
        <v>10</v>
      </c>
      <c r="E21" cm="1">
        <f t="array" ref="E21">SUMPRODUCT(('Line downtime'!$N$3:$N$40=$B21)*('Line downtime'!$B$2:$M$2=E$18)*'Line downtime'!$B$3:$M$40)</f>
        <v>22</v>
      </c>
      <c r="F21" cm="1">
        <f t="array" ref="F21">SUMPRODUCT(('Line downtime'!$N$3:$N$40=$B21)*('Line downtime'!$B$2:$M$2=F$18)*'Line downtime'!$B$3:$M$40)</f>
        <v>17</v>
      </c>
      <c r="G21" cm="1">
        <f t="array" ref="G21">SUMPRODUCT(('Line downtime'!$N$3:$N$40=$B21)*('Line downtime'!$B$2:$M$2=G$18)*'Line downtime'!$B$3:$M$40)</f>
        <v>22</v>
      </c>
      <c r="H21" cm="1">
        <f t="array" ref="H21">SUMPRODUCT(('Line downtime'!$N$3:$N$40=$B21)*('Line downtime'!$B$2:$M$2=H$18)*'Line downtime'!$B$3:$M$40)</f>
        <v>118</v>
      </c>
      <c r="I21" cm="1">
        <f t="array" ref="I21">SUMPRODUCT(('Line downtime'!$N$3:$N$40=$B21)*('Line downtime'!$B$2:$M$2=I$18)*'Line downtime'!$B$3:$M$40)</f>
        <v>85</v>
      </c>
      <c r="J21" cm="1">
        <f t="array" ref="J21">SUMPRODUCT(('Line downtime'!$N$3:$N$40=$B21)*('Line downtime'!$B$2:$M$2=J$18)*'Line downtime'!$B$3:$M$40)</f>
        <v>44</v>
      </c>
      <c r="K21" cm="1">
        <f t="array" ref="K21">SUMPRODUCT(('Line downtime'!$N$3:$N$40=$B21)*('Line downtime'!$B$2:$M$2=K$18)*'Line downtime'!$B$3:$M$40)</f>
        <v>0</v>
      </c>
      <c r="L21" cm="1">
        <f t="array" ref="L21">SUMPRODUCT(('Line downtime'!$N$3:$N$40=$B21)*('Line downtime'!$B$2:$M$2=L$18)*'Line downtime'!$B$3:$M$40)</f>
        <v>24</v>
      </c>
      <c r="M21" cm="1">
        <f t="array" ref="M21">SUMPRODUCT(('Line downtime'!$N$3:$N$40=$B21)*('Line downtime'!$B$2:$M$2=M$18)*'Line downtime'!$B$3:$M$40)</f>
        <v>10</v>
      </c>
      <c r="N21" cm="1">
        <f t="array" ref="N21">SUMPRODUCT(('Line downtime'!$N$3:$N$40=$B21)*('Line downtime'!$B$2:$M$2=N$18)*'Line downtime'!$B$3:$M$40)</f>
        <v>32</v>
      </c>
      <c r="O21">
        <f>SUM(D21:N21)</f>
        <v>384</v>
      </c>
    </row>
    <row r="22" spans="2:15" x14ac:dyDescent="0.35">
      <c r="B22" t="str">
        <v>Dee</v>
      </c>
      <c r="D22" cm="1">
        <f t="array" ref="D22">SUMPRODUCT(('Line downtime'!$N$3:$N$40=$B22)*('Line downtime'!$B$2:$M$2=D$18)*'Line downtime'!$B$3:$M$40)</f>
        <v>20</v>
      </c>
      <c r="E22" cm="1">
        <f t="array" ref="E22">SUMPRODUCT(('Line downtime'!$N$3:$N$40=$B22)*('Line downtime'!$B$2:$M$2=E$18)*'Line downtime'!$B$3:$M$40)</f>
        <v>20</v>
      </c>
      <c r="F22" cm="1">
        <f t="array" ref="F22">SUMPRODUCT(('Line downtime'!$N$3:$N$40=$B22)*('Line downtime'!$B$2:$M$2=F$18)*'Line downtime'!$B$3:$M$40)</f>
        <v>85</v>
      </c>
      <c r="G22" cm="1">
        <f t="array" ref="G22">SUMPRODUCT(('Line downtime'!$N$3:$N$40=$B22)*('Line downtime'!$B$2:$M$2=G$18)*'Line downtime'!$B$3:$M$40)</f>
        <v>15</v>
      </c>
      <c r="H22" cm="1">
        <f t="array" ref="H22">SUMPRODUCT(('Line downtime'!$N$3:$N$40=$B22)*('Line downtime'!$B$2:$M$2=H$18)*'Line downtime'!$B$3:$M$40)</f>
        <v>79</v>
      </c>
      <c r="I22" cm="1">
        <f t="array" ref="I22">SUMPRODUCT(('Line downtime'!$N$3:$N$40=$B22)*('Line downtime'!$B$2:$M$2=I$18)*'Line downtime'!$B$3:$M$40)</f>
        <v>36</v>
      </c>
      <c r="J22" cm="1">
        <f t="array" ref="J22">SUMPRODUCT(('Line downtime'!$N$3:$N$40=$B22)*('Line downtime'!$B$2:$M$2=J$18)*'Line downtime'!$B$3:$M$40)</f>
        <v>30</v>
      </c>
      <c r="K22" cm="1">
        <f t="array" ref="K22">SUMPRODUCT(('Line downtime'!$N$3:$N$40=$B22)*('Line downtime'!$B$2:$M$2=K$18)*'Line downtime'!$B$3:$M$40)</f>
        <v>17</v>
      </c>
      <c r="L22" cm="1">
        <f t="array" ref="L22">SUMPRODUCT(('Line downtime'!$N$3:$N$40=$B22)*('Line downtime'!$B$2:$M$2=L$18)*'Line downtime'!$B$3:$M$40)</f>
        <v>25</v>
      </c>
      <c r="M22" cm="1">
        <f t="array" ref="M22">SUMPRODUCT(('Line downtime'!$N$3:$N$40=$B22)*('Line downtime'!$B$2:$M$2=M$18)*'Line downtime'!$B$3:$M$40)</f>
        <v>23</v>
      </c>
      <c r="N22" cm="1">
        <f t="array" ref="N22">SUMPRODUCT(('Line downtime'!$N$3:$N$40=$B22)*('Line downtime'!$B$2:$M$2=N$18)*'Line downtime'!$B$3:$M$40)</f>
        <v>20</v>
      </c>
      <c r="O22">
        <f>SUM(D22:N22)</f>
        <v>370</v>
      </c>
    </row>
    <row r="23" spans="2:15" x14ac:dyDescent="0.35">
      <c r="B23" t="str">
        <v>Dennis</v>
      </c>
      <c r="D23" cm="1">
        <f t="array" ref="D23">SUMPRODUCT(('Line downtime'!$N$3:$N$40=$B23)*('Line downtime'!$B$2:$M$2=D$18)*'Line downtime'!$B$3:$M$40)</f>
        <v>0</v>
      </c>
      <c r="E23" cm="1">
        <f t="array" ref="E23">SUMPRODUCT(('Line downtime'!$N$3:$N$40=$B23)*('Line downtime'!$B$2:$M$2=E$18)*'Line downtime'!$B$3:$M$40)</f>
        <v>0</v>
      </c>
      <c r="F23" cm="1">
        <f t="array" ref="F23">SUMPRODUCT(('Line downtime'!$N$3:$N$40=$B23)*('Line downtime'!$B$2:$M$2=F$18)*'Line downtime'!$B$3:$M$40)</f>
        <v>43</v>
      </c>
      <c r="G23" cm="1">
        <f t="array" ref="G23">SUMPRODUCT(('Line downtime'!$N$3:$N$40=$B23)*('Line downtime'!$B$2:$M$2=G$18)*'Line downtime'!$B$3:$M$40)</f>
        <v>20</v>
      </c>
      <c r="H23" cm="1">
        <f t="array" ref="H23">SUMPRODUCT(('Line downtime'!$N$3:$N$40=$B23)*('Line downtime'!$B$2:$M$2=H$18)*'Line downtime'!$B$3:$M$40)</f>
        <v>120</v>
      </c>
      <c r="I23" cm="1">
        <f t="array" ref="I23">SUMPRODUCT(('Line downtime'!$N$3:$N$40=$B23)*('Line downtime'!$B$2:$M$2=I$18)*'Line downtime'!$B$3:$M$40)</f>
        <v>88</v>
      </c>
      <c r="J23" cm="1">
        <f t="array" ref="J23">SUMPRODUCT(('Line downtime'!$N$3:$N$40=$B23)*('Line downtime'!$B$2:$M$2=J$18)*'Line downtime'!$B$3:$M$40)</f>
        <v>24</v>
      </c>
      <c r="K23" cm="1">
        <f t="array" ref="K23">SUMPRODUCT(('Line downtime'!$N$3:$N$40=$B23)*('Line downtime'!$B$2:$M$2=K$18)*'Line downtime'!$B$3:$M$40)</f>
        <v>0</v>
      </c>
      <c r="L23" cm="1">
        <f t="array" ref="L23">SUMPRODUCT(('Line downtime'!$N$3:$N$40=$B23)*('Line downtime'!$B$2:$M$2=L$18)*'Line downtime'!$B$3:$M$40)</f>
        <v>0</v>
      </c>
      <c r="M23" cm="1">
        <f t="array" ref="M23">SUMPRODUCT(('Line downtime'!$N$3:$N$40=$B23)*('Line downtime'!$B$2:$M$2=M$18)*'Line downtime'!$B$3:$M$40)</f>
        <v>0</v>
      </c>
      <c r="N23" cm="1">
        <f t="array" ref="N23">SUMPRODUCT(('Line downtime'!$N$3:$N$40=$B23)*('Line downtime'!$B$2:$M$2=N$18)*'Line downtime'!$B$3:$M$40)</f>
        <v>7</v>
      </c>
      <c r="O23">
        <f>SUM(D23:N23)</f>
        <v>302</v>
      </c>
    </row>
    <row r="24" spans="2:15" x14ac:dyDescent="0.35">
      <c r="D24">
        <f t="shared" ref="D24:N24" si="0">SUM(D20:D23)</f>
        <v>160</v>
      </c>
      <c r="E24">
        <f t="shared" si="0"/>
        <v>42</v>
      </c>
      <c r="F24">
        <f t="shared" si="0"/>
        <v>225</v>
      </c>
      <c r="G24">
        <f t="shared" si="0"/>
        <v>57</v>
      </c>
      <c r="H24">
        <f t="shared" si="0"/>
        <v>332</v>
      </c>
      <c r="I24">
        <f t="shared" si="0"/>
        <v>254</v>
      </c>
      <c r="J24">
        <f t="shared" si="0"/>
        <v>145</v>
      </c>
      <c r="K24">
        <f t="shared" si="0"/>
        <v>17</v>
      </c>
      <c r="L24">
        <f t="shared" si="0"/>
        <v>49</v>
      </c>
      <c r="M24">
        <f t="shared" si="0"/>
        <v>33</v>
      </c>
      <c r="N24">
        <f t="shared" si="0"/>
        <v>74</v>
      </c>
    </row>
  </sheetData>
  <sortState xmlns:xlrd2="http://schemas.microsoft.com/office/spreadsheetml/2017/richdata2" columnSort="1" ref="D19:N24">
    <sortCondition ref="D24:N24"/>
  </sortState>
  <mergeCells count="1">
    <mergeCell ref="B1:C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I41"/>
  <sheetViews>
    <sheetView topLeftCell="A5" workbookViewId="0">
      <selection activeCell="I41" sqref="I41"/>
    </sheetView>
  </sheetViews>
  <sheetFormatPr defaultRowHeight="14.5" x14ac:dyDescent="0.35"/>
  <cols>
    <col min="1" max="1" width="10.36328125" bestFit="1" customWidth="1"/>
    <col min="2" max="2" width="9.6328125" bestFit="1" customWidth="1"/>
    <col min="3" max="3" width="8.90625" customWidth="1"/>
    <col min="4" max="4" width="9.36328125" bestFit="1" customWidth="1"/>
    <col min="5" max="5" width="9.6328125" bestFit="1" customWidth="1"/>
    <col min="6" max="6" width="8.90625" customWidth="1"/>
    <col min="7" max="7" width="10.90625" customWidth="1"/>
    <col min="8" max="8" width="15.453125" customWidth="1"/>
    <col min="9" max="9" width="13.26953125" customWidth="1"/>
    <col min="10" max="11" width="8.90625" customWidth="1"/>
    <col min="13" max="13" width="8.906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  <c r="H1" s="2" t="s">
        <v>45</v>
      </c>
      <c r="I1" s="2" t="s">
        <v>46</v>
      </c>
    </row>
    <row r="2" spans="1:9" x14ac:dyDescent="0.3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 s="4">
        <f>(F2-E2)*1440</f>
        <v>135</v>
      </c>
      <c r="H2">
        <f>_xlfn.XLOOKUP(B2,Products!$A$2:$A$7,Products!$D$2:$D$7)</f>
        <v>60</v>
      </c>
      <c r="I2" s="4">
        <f>(H2/G2)*100</f>
        <v>44.444444444444443</v>
      </c>
    </row>
    <row r="3" spans="1:9" x14ac:dyDescent="0.3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 s="4">
        <f t="shared" ref="G3:G39" si="0">(F3-E3)*1440</f>
        <v>99.999999999999972</v>
      </c>
      <c r="H3">
        <f>_xlfn.XLOOKUP(B3,Products!$A$2:$A$7,Products!$D$2:$D$7)</f>
        <v>60</v>
      </c>
      <c r="I3" s="4">
        <f t="shared" ref="I3:I39" si="1">(H3/G3)*100</f>
        <v>60.000000000000021</v>
      </c>
    </row>
    <row r="4" spans="1:9" x14ac:dyDescent="0.3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 s="4">
        <f t="shared" si="0"/>
        <v>109.99999999999993</v>
      </c>
      <c r="H4">
        <f>_xlfn.XLOOKUP(B4,Products!$A$2:$A$7,Products!$D$2:$D$7)</f>
        <v>60</v>
      </c>
      <c r="I4" s="4">
        <f t="shared" si="1"/>
        <v>54.545454545454589</v>
      </c>
    </row>
    <row r="5" spans="1:9" x14ac:dyDescent="0.3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 s="4">
        <f t="shared" si="0"/>
        <v>99.999999999999972</v>
      </c>
      <c r="H5">
        <f>_xlfn.XLOOKUP(B5,Products!$A$2:$A$7,Products!$D$2:$D$7)</f>
        <v>60</v>
      </c>
      <c r="I5" s="4">
        <f t="shared" si="1"/>
        <v>60.000000000000021</v>
      </c>
    </row>
    <row r="6" spans="1:9" x14ac:dyDescent="0.3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 s="4">
        <f t="shared" si="0"/>
        <v>84.000000000000028</v>
      </c>
      <c r="H6">
        <f>_xlfn.XLOOKUP(B6,Products!$A$2:$A$7,Products!$D$2:$D$7)</f>
        <v>60</v>
      </c>
      <c r="I6" s="4">
        <f t="shared" si="1"/>
        <v>71.428571428571402</v>
      </c>
    </row>
    <row r="7" spans="1:9" x14ac:dyDescent="0.3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 s="4">
        <f t="shared" si="0"/>
        <v>59.999999999999943</v>
      </c>
      <c r="H7">
        <f>_xlfn.XLOOKUP(B7,Products!$A$2:$A$7,Products!$D$2:$D$7)</f>
        <v>60</v>
      </c>
      <c r="I7" s="4">
        <f t="shared" si="1"/>
        <v>100.00000000000009</v>
      </c>
    </row>
    <row r="8" spans="1:9" x14ac:dyDescent="0.3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 s="4">
        <f t="shared" si="0"/>
        <v>75.000000000000057</v>
      </c>
      <c r="H8">
        <f>_xlfn.XLOOKUP(B8,Products!$A$2:$A$7,Products!$D$2:$D$7)</f>
        <v>60</v>
      </c>
      <c r="I8" s="4">
        <f t="shared" si="1"/>
        <v>79.999999999999943</v>
      </c>
    </row>
    <row r="9" spans="1:9" x14ac:dyDescent="0.3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 s="4">
        <f t="shared" si="0"/>
        <v>119.99999999999997</v>
      </c>
      <c r="H9">
        <f>_xlfn.XLOOKUP(B9,Products!$A$2:$A$7,Products!$D$2:$D$7)</f>
        <v>60</v>
      </c>
      <c r="I9" s="4">
        <f t="shared" si="1"/>
        <v>50.000000000000014</v>
      </c>
    </row>
    <row r="10" spans="1:9" x14ac:dyDescent="0.3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 s="4">
        <f t="shared" si="0"/>
        <v>85.000000000000014</v>
      </c>
      <c r="H10">
        <f>_xlfn.XLOOKUP(B10,Products!$A$2:$A$7,Products!$D$2:$D$7)</f>
        <v>60</v>
      </c>
      <c r="I10" s="4">
        <f t="shared" si="1"/>
        <v>70.588235294117638</v>
      </c>
    </row>
    <row r="11" spans="1:9" x14ac:dyDescent="0.3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 s="4">
        <f t="shared" si="0"/>
        <v>112</v>
      </c>
      <c r="H11">
        <f>_xlfn.XLOOKUP(B11,Products!$A$2:$A$7,Products!$D$2:$D$7)</f>
        <v>60</v>
      </c>
      <c r="I11" s="4">
        <f t="shared" si="1"/>
        <v>53.571428571428569</v>
      </c>
    </row>
    <row r="12" spans="1:9" x14ac:dyDescent="0.3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 s="4">
        <f t="shared" si="0"/>
        <v>74.999999999999972</v>
      </c>
      <c r="H12">
        <f>_xlfn.XLOOKUP(B12,Products!$A$2:$A$7,Products!$D$2:$D$7)</f>
        <v>60</v>
      </c>
      <c r="I12" s="4">
        <f t="shared" si="1"/>
        <v>80.000000000000028</v>
      </c>
    </row>
    <row r="13" spans="1:9" x14ac:dyDescent="0.3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 s="4">
        <f t="shared" si="0"/>
        <v>85.000000000000014</v>
      </c>
      <c r="H13">
        <f>_xlfn.XLOOKUP(B13,Products!$A$2:$A$7,Products!$D$2:$D$7)</f>
        <v>60</v>
      </c>
      <c r="I13" s="4">
        <f t="shared" si="1"/>
        <v>70.588235294117638</v>
      </c>
    </row>
    <row r="14" spans="1:9" x14ac:dyDescent="0.3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 s="4">
        <f t="shared" si="0"/>
        <v>133</v>
      </c>
      <c r="H14">
        <f>_xlfn.XLOOKUP(B14,Products!$A$2:$A$7,Products!$D$2:$D$7)</f>
        <v>60</v>
      </c>
      <c r="I14" s="4">
        <f t="shared" si="1"/>
        <v>45.112781954887218</v>
      </c>
    </row>
    <row r="15" spans="1:9" x14ac:dyDescent="0.3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 s="4">
        <f t="shared" si="0"/>
        <v>99.999999999999972</v>
      </c>
      <c r="H15">
        <f>_xlfn.XLOOKUP(B15,Products!$A$2:$A$7,Products!$D$2:$D$7)</f>
        <v>60</v>
      </c>
      <c r="I15" s="4">
        <f t="shared" si="1"/>
        <v>60.000000000000021</v>
      </c>
    </row>
    <row r="16" spans="1:9" x14ac:dyDescent="0.3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 s="4">
        <f t="shared" si="0"/>
        <v>80.000000000000028</v>
      </c>
      <c r="H16">
        <f>_xlfn.XLOOKUP(B16,Products!$A$2:$A$7,Products!$D$2:$D$7)</f>
        <v>60</v>
      </c>
      <c r="I16" s="4">
        <f t="shared" si="1"/>
        <v>74.999999999999972</v>
      </c>
    </row>
    <row r="17" spans="1:9" x14ac:dyDescent="0.3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 s="4">
        <f t="shared" si="0"/>
        <v>103.99999999999994</v>
      </c>
      <c r="H17">
        <f>_xlfn.XLOOKUP(B17,Products!$A$2:$A$7,Products!$D$2:$D$7)</f>
        <v>60</v>
      </c>
      <c r="I17" s="4">
        <f t="shared" si="1"/>
        <v>57.692307692307722</v>
      </c>
    </row>
    <row r="18" spans="1:9" x14ac:dyDescent="0.3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 s="4">
        <f t="shared" si="0"/>
        <v>83.000000000000028</v>
      </c>
      <c r="H18">
        <f>_xlfn.XLOOKUP(B18,Products!$A$2:$A$7,Products!$D$2:$D$7)</f>
        <v>60</v>
      </c>
      <c r="I18" s="4">
        <f t="shared" si="1"/>
        <v>72.289156626505999</v>
      </c>
    </row>
    <row r="19" spans="1:9" x14ac:dyDescent="0.3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 s="4">
        <f t="shared" si="0"/>
        <v>112.00000000000009</v>
      </c>
      <c r="H19">
        <f>_xlfn.XLOOKUP(B19,Products!$A$2:$A$7,Products!$D$2:$D$7)</f>
        <v>60</v>
      </c>
      <c r="I19" s="4">
        <f t="shared" si="1"/>
        <v>53.571428571428527</v>
      </c>
    </row>
    <row r="20" spans="1:9" x14ac:dyDescent="0.3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 s="4">
        <f t="shared" si="0"/>
        <v>74.999999999999886</v>
      </c>
      <c r="H20">
        <f>_xlfn.XLOOKUP(B20,Products!$A$2:$A$7,Products!$D$2:$D$7)</f>
        <v>60</v>
      </c>
      <c r="I20" s="4">
        <f t="shared" si="1"/>
        <v>80.000000000000128</v>
      </c>
    </row>
    <row r="21" spans="1:9" x14ac:dyDescent="0.3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 s="4">
        <f t="shared" si="0"/>
        <v>79.999999999999957</v>
      </c>
      <c r="H21">
        <f>_xlfn.XLOOKUP(B21,Products!$A$2:$A$7,Products!$D$2:$D$7)</f>
        <v>60</v>
      </c>
      <c r="I21" s="4">
        <f t="shared" si="1"/>
        <v>75.000000000000043</v>
      </c>
    </row>
    <row r="22" spans="1:9" x14ac:dyDescent="0.3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 s="4">
        <f t="shared" si="0"/>
        <v>90</v>
      </c>
      <c r="H22">
        <f>_xlfn.XLOOKUP(B22,Products!$A$2:$A$7,Products!$D$2:$D$7)</f>
        <v>60</v>
      </c>
      <c r="I22" s="4">
        <f t="shared" si="1"/>
        <v>66.666666666666657</v>
      </c>
    </row>
    <row r="23" spans="1:9" x14ac:dyDescent="0.3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 s="4">
        <f t="shared" si="0"/>
        <v>60.000000000000028</v>
      </c>
      <c r="H23">
        <f>_xlfn.XLOOKUP(B23,Products!$A$2:$A$7,Products!$D$2:$D$7)</f>
        <v>60</v>
      </c>
      <c r="I23" s="4">
        <f t="shared" si="1"/>
        <v>99.999999999999957</v>
      </c>
    </row>
    <row r="24" spans="1:9" x14ac:dyDescent="0.3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 s="4">
        <f t="shared" si="0"/>
        <v>79.999999999999957</v>
      </c>
      <c r="H24">
        <f>_xlfn.XLOOKUP(B24,Products!$A$2:$A$7,Products!$D$2:$D$7)</f>
        <v>60</v>
      </c>
      <c r="I24" s="4">
        <f t="shared" si="1"/>
        <v>75.000000000000043</v>
      </c>
    </row>
    <row r="25" spans="1:9" x14ac:dyDescent="0.3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 s="4">
        <f t="shared" si="0"/>
        <v>110.00000000000009</v>
      </c>
      <c r="H25">
        <f>_xlfn.XLOOKUP(B25,Products!$A$2:$A$7,Products!$D$2:$D$7)</f>
        <v>60</v>
      </c>
      <c r="I25" s="4">
        <f t="shared" si="1"/>
        <v>54.545454545454511</v>
      </c>
    </row>
    <row r="26" spans="1:9" x14ac:dyDescent="0.3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 s="4">
        <f t="shared" si="0"/>
        <v>104.99999999999994</v>
      </c>
      <c r="H26">
        <f>_xlfn.XLOOKUP(B26,Products!$A$2:$A$7,Products!$D$2:$D$7)</f>
        <v>60</v>
      </c>
      <c r="I26" s="4">
        <f t="shared" si="1"/>
        <v>57.142857142857174</v>
      </c>
    </row>
    <row r="27" spans="1:9" x14ac:dyDescent="0.3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 s="4">
        <f t="shared" si="0"/>
        <v>59.999999999999943</v>
      </c>
      <c r="H27">
        <f>_xlfn.XLOOKUP(B27,Products!$A$2:$A$7,Products!$D$2:$D$7)</f>
        <v>60</v>
      </c>
      <c r="I27" s="4">
        <f t="shared" si="1"/>
        <v>100.00000000000009</v>
      </c>
    </row>
    <row r="28" spans="1:9" x14ac:dyDescent="0.3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 s="4">
        <f t="shared" si="0"/>
        <v>104.99999999999999</v>
      </c>
      <c r="H28">
        <f>_xlfn.XLOOKUP(B28,Products!$A$2:$A$7,Products!$D$2:$D$7)</f>
        <v>60</v>
      </c>
      <c r="I28" s="4">
        <f t="shared" si="1"/>
        <v>57.142857142857153</v>
      </c>
    </row>
    <row r="29" spans="1:9" x14ac:dyDescent="0.3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 s="4">
        <f t="shared" si="0"/>
        <v>80.000000000000014</v>
      </c>
      <c r="H29">
        <f>_xlfn.XLOOKUP(B29,Products!$A$2:$A$7,Products!$D$2:$D$7)</f>
        <v>60</v>
      </c>
      <c r="I29" s="4">
        <f t="shared" si="1"/>
        <v>74.999999999999986</v>
      </c>
    </row>
    <row r="30" spans="1:9" x14ac:dyDescent="0.3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 s="4">
        <f t="shared" si="0"/>
        <v>94.999999999999986</v>
      </c>
      <c r="H30">
        <f>_xlfn.XLOOKUP(B30,Products!$A$2:$A$7,Products!$D$2:$D$7)</f>
        <v>60</v>
      </c>
      <c r="I30" s="4">
        <f t="shared" si="1"/>
        <v>63.15789473684211</v>
      </c>
    </row>
    <row r="31" spans="1:9" x14ac:dyDescent="0.3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 s="4">
        <f t="shared" si="0"/>
        <v>123.00000000000004</v>
      </c>
      <c r="H31">
        <f>_xlfn.XLOOKUP(B31,Products!$A$2:$A$7,Products!$D$2:$D$7)</f>
        <v>60</v>
      </c>
      <c r="I31" s="4">
        <f t="shared" si="1"/>
        <v>48.780487804878028</v>
      </c>
    </row>
    <row r="32" spans="1:9" x14ac:dyDescent="0.3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 s="4">
        <f t="shared" si="0"/>
        <v>67</v>
      </c>
      <c r="H32">
        <f>_xlfn.XLOOKUP(B32,Products!$A$2:$A$7,Products!$D$2:$D$7)</f>
        <v>60</v>
      </c>
      <c r="I32" s="4">
        <f t="shared" si="1"/>
        <v>89.552238805970148</v>
      </c>
    </row>
    <row r="33" spans="1:9" x14ac:dyDescent="0.3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 s="4">
        <f t="shared" si="0"/>
        <v>90</v>
      </c>
      <c r="H33">
        <f>_xlfn.XLOOKUP(B33,Products!$A$2:$A$7,Products!$D$2:$D$7)</f>
        <v>60</v>
      </c>
      <c r="I33" s="4">
        <f t="shared" si="1"/>
        <v>66.666666666666657</v>
      </c>
    </row>
    <row r="34" spans="1:9" x14ac:dyDescent="0.3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 s="4">
        <f t="shared" si="0"/>
        <v>117.9999999999999</v>
      </c>
      <c r="H34">
        <f>_xlfn.XLOOKUP(B34,Products!$A$2:$A$7,Products!$D$2:$D$7)</f>
        <v>60</v>
      </c>
      <c r="I34" s="4">
        <f t="shared" si="1"/>
        <v>50.847457627118686</v>
      </c>
    </row>
    <row r="35" spans="1:9" x14ac:dyDescent="0.3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 s="4">
        <f t="shared" si="0"/>
        <v>152.00000000000011</v>
      </c>
      <c r="H35">
        <f>_xlfn.XLOOKUP(B35,Products!$A$2:$A$7,Products!$D$2:$D$7)</f>
        <v>98</v>
      </c>
      <c r="I35" s="4">
        <f t="shared" si="1"/>
        <v>64.473684210526272</v>
      </c>
    </row>
    <row r="36" spans="1:9" x14ac:dyDescent="0.3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 s="4">
        <f t="shared" si="0"/>
        <v>120.00000000000006</v>
      </c>
      <c r="H36">
        <f>_xlfn.XLOOKUP(B36,Products!$A$2:$A$7,Products!$D$2:$D$7)</f>
        <v>98</v>
      </c>
      <c r="I36" s="4">
        <f t="shared" si="1"/>
        <v>81.666666666666629</v>
      </c>
    </row>
    <row r="37" spans="1:9" x14ac:dyDescent="0.3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 s="4">
        <f t="shared" si="0"/>
        <v>159.99999999999991</v>
      </c>
      <c r="H37">
        <f>_xlfn.XLOOKUP(B37,Products!$A$2:$A$7,Products!$D$2:$D$7)</f>
        <v>98</v>
      </c>
      <c r="I37" s="4">
        <f t="shared" si="1"/>
        <v>61.250000000000036</v>
      </c>
    </row>
    <row r="38" spans="1:9" x14ac:dyDescent="0.3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 s="4">
        <f t="shared" si="0"/>
        <v>205.00000000000006</v>
      </c>
      <c r="H38">
        <f>_xlfn.XLOOKUP(B38,Products!$A$2:$A$7,Products!$D$2:$D$7)</f>
        <v>98</v>
      </c>
      <c r="I38" s="4">
        <f t="shared" si="1"/>
        <v>47.804878048780473</v>
      </c>
    </row>
    <row r="39" spans="1:9" x14ac:dyDescent="0.3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 s="4">
        <f t="shared" si="0"/>
        <v>129.99999999999986</v>
      </c>
      <c r="H39">
        <f>_xlfn.XLOOKUP(B39,Products!$A$2:$A$7,Products!$D$2:$D$7)</f>
        <v>98</v>
      </c>
      <c r="I39" s="4">
        <f t="shared" si="1"/>
        <v>75.384615384615472</v>
      </c>
    </row>
    <row r="41" spans="1:9" x14ac:dyDescent="0.35">
      <c r="I41" s="4">
        <f>AVERAGE(I2:I39)</f>
        <v>67.07669657560956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3429-E92C-41FF-89E0-80DE22AB3A6D}">
  <dimension ref="A1:I8"/>
  <sheetViews>
    <sheetView zoomScale="70" zoomScaleNormal="70" workbookViewId="0">
      <selection activeCell="G24" sqref="G24"/>
    </sheetView>
  </sheetViews>
  <sheetFormatPr defaultRowHeight="14.5" x14ac:dyDescent="0.35"/>
  <cols>
    <col min="1" max="1" width="11.7265625" customWidth="1"/>
    <col min="2" max="2" width="20.26953125" customWidth="1"/>
    <col min="8" max="8" width="13.36328125" customWidth="1"/>
    <col min="9" max="9" width="20" customWidth="1"/>
  </cols>
  <sheetData>
    <row r="1" spans="1:9" x14ac:dyDescent="0.35">
      <c r="A1" s="5" t="s">
        <v>49</v>
      </c>
      <c r="B1" s="5"/>
      <c r="H1" s="5" t="s">
        <v>50</v>
      </c>
      <c r="I1" s="5"/>
    </row>
    <row r="2" spans="1:9" x14ac:dyDescent="0.35">
      <c r="A2" t="s">
        <v>47</v>
      </c>
      <c r="B2" t="s">
        <v>48</v>
      </c>
      <c r="H2" t="s">
        <v>51</v>
      </c>
      <c r="I2" t="s">
        <v>48</v>
      </c>
    </row>
    <row r="3" spans="1:9" x14ac:dyDescent="0.35">
      <c r="A3" t="str" cm="1">
        <f t="array" ref="A3:A6">_xlfn.UNIQUE('Line productivity'!D2:D39)</f>
        <v>Mac</v>
      </c>
      <c r="B3" s="4">
        <f>AVERAGEIF('Line productivity'!D2:D39,'EFFICIENCY '!A3,'Line productivity'!I2:I39)</f>
        <v>63.257853257853284</v>
      </c>
      <c r="H3" t="str" cm="1">
        <f t="array" ref="H3:H8">_xlfn.UNIQUE('Line productivity'!B2:B39)</f>
        <v>OR-600</v>
      </c>
      <c r="I3" s="4">
        <f>AVERAGEIF('Line productivity'!B2:B39,'EFFICIENCY '!H3,'Line productivity'!I2:I39)</f>
        <v>44.444444444444443</v>
      </c>
    </row>
    <row r="4" spans="1:9" x14ac:dyDescent="0.35">
      <c r="A4" t="str">
        <v>Charlie</v>
      </c>
      <c r="B4" s="4">
        <f>AVERAGEIF('Line productivity'!D5:D42,'EFFICIENCY '!A6,'Line productivity'!I5:I42)</f>
        <v>65.905133069910832</v>
      </c>
      <c r="H4" t="str">
        <v>LE-600</v>
      </c>
      <c r="I4" s="4">
        <f>AVERAGEIF('Line productivity'!B3:B40,'EFFICIENCY '!H4,'Line productivity'!I3:I40)</f>
        <v>70.99567099567102</v>
      </c>
    </row>
    <row r="5" spans="1:9" x14ac:dyDescent="0.35">
      <c r="A5" t="str">
        <v>Dee</v>
      </c>
      <c r="B5" s="4">
        <f>AVERAGEIF('Line productivity'!D4:D41,'EFFICIENCY '!A5,'Line productivity'!I4:I41)</f>
        <v>66.809779110617285</v>
      </c>
      <c r="H5" t="str">
        <v>CO-600</v>
      </c>
      <c r="I5" s="4">
        <f>AVERAGEIF('Line productivity'!B4:B41,'EFFICIENCY '!H5,'Line productivity'!I4:I41)</f>
        <v>67.338682711430678</v>
      </c>
    </row>
    <row r="6" spans="1:9" x14ac:dyDescent="0.35">
      <c r="A6" t="str">
        <v>Dennis</v>
      </c>
      <c r="B6" s="4">
        <f>AVERAGEIF('Line productivity'!D3:D40,'EFFICIENCY '!A4,'Line productivity'!I3:I40)</f>
        <v>70.973000821296438</v>
      </c>
      <c r="H6" t="str">
        <v>DC-600</v>
      </c>
      <c r="I6" s="4">
        <f>AVERAGEIF('Line productivity'!B5:B42,'EFFICIENCY '!H6,'Line productivity'!I5:I42)</f>
        <v>71.67207792207796</v>
      </c>
    </row>
    <row r="7" spans="1:9" x14ac:dyDescent="0.35">
      <c r="H7" t="str">
        <v>RB-600</v>
      </c>
      <c r="I7" s="4">
        <f>AVERAGEIF('Line productivity'!B6:B43,'EFFICIENCY '!H7,'Line productivity'!I6:I43)</f>
        <v>64.449657540618958</v>
      </c>
    </row>
    <row r="8" spans="1:9" x14ac:dyDescent="0.35">
      <c r="A8" t="s">
        <v>58</v>
      </c>
      <c r="B8" s="4">
        <f>AVERAGE(B3:B6)</f>
        <v>66.73644156491946</v>
      </c>
      <c r="H8" t="str">
        <v>CO-2L</v>
      </c>
      <c r="I8" s="4">
        <f>AVERAGEIF('Line productivity'!B7:B44,'EFFICIENCY '!H8,'Line productivity'!I7:I44)</f>
        <v>66.115968862117782</v>
      </c>
    </row>
  </sheetData>
  <sortState xmlns:xlrd2="http://schemas.microsoft.com/office/spreadsheetml/2017/richdata2" ref="B3:B6">
    <sortCondition ref="B3:B6"/>
  </sortState>
  <mergeCells count="2">
    <mergeCell ref="A1:B1"/>
    <mergeCell ref="H1:I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4.5" x14ac:dyDescent="0.35"/>
  <cols>
    <col min="2" max="2" width="11.08984375" bestFit="1" customWidth="1"/>
    <col min="4" max="4" width="14.36328125" bestFit="1" customWidth="1"/>
  </cols>
  <sheetData>
    <row r="1" spans="1:4" x14ac:dyDescent="0.3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35">
      <c r="A2" t="s">
        <v>24</v>
      </c>
      <c r="B2" t="s">
        <v>32</v>
      </c>
      <c r="C2" t="s">
        <v>38</v>
      </c>
      <c r="D2">
        <v>60</v>
      </c>
    </row>
    <row r="3" spans="1:4" x14ac:dyDescent="0.35">
      <c r="A3" t="s">
        <v>25</v>
      </c>
      <c r="B3" t="s">
        <v>33</v>
      </c>
      <c r="C3" t="s">
        <v>38</v>
      </c>
      <c r="D3">
        <v>60</v>
      </c>
    </row>
    <row r="4" spans="1:4" x14ac:dyDescent="0.35">
      <c r="A4" t="s">
        <v>26</v>
      </c>
      <c r="B4" t="s">
        <v>34</v>
      </c>
      <c r="C4" t="s">
        <v>38</v>
      </c>
      <c r="D4">
        <v>60</v>
      </c>
    </row>
    <row r="5" spans="1:4" x14ac:dyDescent="0.35">
      <c r="A5" t="s">
        <v>27</v>
      </c>
      <c r="B5" t="s">
        <v>35</v>
      </c>
      <c r="C5" t="s">
        <v>38</v>
      </c>
      <c r="D5">
        <v>60</v>
      </c>
    </row>
    <row r="6" spans="1:4" x14ac:dyDescent="0.35">
      <c r="A6" t="s">
        <v>28</v>
      </c>
      <c r="B6" t="s">
        <v>36</v>
      </c>
      <c r="C6" t="s">
        <v>38</v>
      </c>
      <c r="D6">
        <v>60</v>
      </c>
    </row>
    <row r="7" spans="1:4" x14ac:dyDescent="0.3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4.5" x14ac:dyDescent="0.35"/>
  <cols>
    <col min="1" max="1" width="8.90625" customWidth="1"/>
    <col min="2" max="2" width="19.26953125" bestFit="1" customWidth="1"/>
    <col min="3" max="3" width="14" bestFit="1" customWidth="1"/>
  </cols>
  <sheetData>
    <row r="1" spans="1:3" x14ac:dyDescent="0.35">
      <c r="A1" s="2" t="s">
        <v>6</v>
      </c>
      <c r="B1" s="2" t="s">
        <v>22</v>
      </c>
      <c r="C1" s="2" t="s">
        <v>7</v>
      </c>
    </row>
    <row r="2" spans="1:3" x14ac:dyDescent="0.35">
      <c r="A2">
        <v>1</v>
      </c>
      <c r="B2" t="s">
        <v>17</v>
      </c>
      <c r="C2" t="s">
        <v>20</v>
      </c>
    </row>
    <row r="3" spans="1:3" x14ac:dyDescent="0.35">
      <c r="A3">
        <v>2</v>
      </c>
      <c r="B3" t="s">
        <v>8</v>
      </c>
      <c r="C3" t="s">
        <v>21</v>
      </c>
    </row>
    <row r="4" spans="1:3" x14ac:dyDescent="0.35">
      <c r="A4">
        <v>3</v>
      </c>
      <c r="B4" t="s">
        <v>19</v>
      </c>
      <c r="C4" t="s">
        <v>20</v>
      </c>
    </row>
    <row r="5" spans="1:3" x14ac:dyDescent="0.35">
      <c r="A5">
        <v>4</v>
      </c>
      <c r="B5" t="s">
        <v>14</v>
      </c>
      <c r="C5" t="s">
        <v>20</v>
      </c>
    </row>
    <row r="6" spans="1:3" x14ac:dyDescent="0.35">
      <c r="A6">
        <v>5</v>
      </c>
      <c r="B6" t="s">
        <v>10</v>
      </c>
      <c r="C6" t="s">
        <v>21</v>
      </c>
    </row>
    <row r="7" spans="1:3" x14ac:dyDescent="0.35">
      <c r="A7">
        <v>6</v>
      </c>
      <c r="B7" t="s">
        <v>9</v>
      </c>
      <c r="C7" t="s">
        <v>21</v>
      </c>
    </row>
    <row r="8" spans="1:3" x14ac:dyDescent="0.35">
      <c r="A8">
        <v>7</v>
      </c>
      <c r="B8" t="s">
        <v>12</v>
      </c>
      <c r="C8" t="s">
        <v>20</v>
      </c>
    </row>
    <row r="9" spans="1:3" x14ac:dyDescent="0.35">
      <c r="A9">
        <v>8</v>
      </c>
      <c r="B9" t="s">
        <v>13</v>
      </c>
      <c r="C9" t="s">
        <v>21</v>
      </c>
    </row>
    <row r="10" spans="1:3" x14ac:dyDescent="0.35">
      <c r="A10">
        <v>9</v>
      </c>
      <c r="B10" t="s">
        <v>15</v>
      </c>
      <c r="C10" t="s">
        <v>20</v>
      </c>
    </row>
    <row r="11" spans="1:3" x14ac:dyDescent="0.35">
      <c r="A11">
        <v>10</v>
      </c>
      <c r="B11" t="s">
        <v>18</v>
      </c>
      <c r="C11" t="s">
        <v>21</v>
      </c>
    </row>
    <row r="12" spans="1:3" x14ac:dyDescent="0.35">
      <c r="A12">
        <v>11</v>
      </c>
      <c r="B12" t="s">
        <v>11</v>
      </c>
      <c r="C12" t="s">
        <v>21</v>
      </c>
    </row>
    <row r="13" spans="1:3" x14ac:dyDescent="0.35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N42"/>
  <sheetViews>
    <sheetView topLeftCell="A13" zoomScaleNormal="100" workbookViewId="0">
      <selection activeCell="B42" sqref="B42:M42"/>
    </sheetView>
  </sheetViews>
  <sheetFormatPr defaultRowHeight="14.5" x14ac:dyDescent="0.35"/>
  <cols>
    <col min="1" max="1" width="8.90625" customWidth="1"/>
    <col min="2" max="13" width="5.6328125" customWidth="1"/>
    <col min="14" max="14" width="10.6328125" customWidth="1"/>
  </cols>
  <sheetData>
    <row r="1" spans="1:14" x14ac:dyDescent="0.35">
      <c r="B1" s="6" t="s">
        <v>23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4" x14ac:dyDescent="0.35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t="s">
        <v>56</v>
      </c>
    </row>
    <row r="3" spans="1:14" x14ac:dyDescent="0.35">
      <c r="A3">
        <v>422111</v>
      </c>
      <c r="C3">
        <v>60</v>
      </c>
      <c r="H3">
        <v>15</v>
      </c>
      <c r="N3" t="str">
        <f>_xlfn.XLOOKUP('Line downtime'!A3,'Line productivity'!C2:C39,'Line productivity'!D2:D39)</f>
        <v>Mac</v>
      </c>
    </row>
    <row r="4" spans="1:14" x14ac:dyDescent="0.35">
      <c r="A4">
        <v>422112</v>
      </c>
      <c r="C4">
        <v>20</v>
      </c>
      <c r="I4">
        <v>20</v>
      </c>
      <c r="N4" t="str">
        <f>_xlfn.XLOOKUP('Line downtime'!A4,'Line productivity'!C3:C40,'Line productivity'!D3:D40)</f>
        <v>Mac</v>
      </c>
    </row>
    <row r="5" spans="1:14" x14ac:dyDescent="0.35">
      <c r="A5">
        <v>422113</v>
      </c>
      <c r="C5">
        <v>50</v>
      </c>
      <c r="N5" t="str">
        <f>_xlfn.XLOOKUP('Line downtime'!A5,'Line productivity'!C4:C41,'Line productivity'!D4:D41)</f>
        <v>Mac</v>
      </c>
    </row>
    <row r="6" spans="1:14" x14ac:dyDescent="0.35">
      <c r="A6">
        <v>422114</v>
      </c>
      <c r="E6">
        <v>25</v>
      </c>
      <c r="G6">
        <v>15</v>
      </c>
      <c r="N6" t="str">
        <f>_xlfn.XLOOKUP('Line downtime'!A6,'Line productivity'!C5:C42,'Line productivity'!D5:D42)</f>
        <v>Mac</v>
      </c>
    </row>
    <row r="7" spans="1:14" x14ac:dyDescent="0.35">
      <c r="A7">
        <v>422115</v>
      </c>
      <c r="K7">
        <v>24</v>
      </c>
      <c r="N7" t="str">
        <f>_xlfn.XLOOKUP('Line downtime'!A7,'Line productivity'!C6:C43,'Line productivity'!D6:D43)</f>
        <v>Charlie</v>
      </c>
    </row>
    <row r="8" spans="1:14" x14ac:dyDescent="0.35">
      <c r="A8">
        <v>422116</v>
      </c>
      <c r="N8" t="str">
        <f>_xlfn.XLOOKUP('Line downtime'!A8,'Line productivity'!C7:C44,'Line productivity'!D7:D44)</f>
        <v>Charlie</v>
      </c>
    </row>
    <row r="9" spans="1:14" x14ac:dyDescent="0.35">
      <c r="A9">
        <v>422117</v>
      </c>
      <c r="C9">
        <v>10</v>
      </c>
      <c r="G9">
        <v>5</v>
      </c>
      <c r="N9" t="str">
        <f>_xlfn.XLOOKUP('Line downtime'!A9,'Line productivity'!C8:C45,'Line productivity'!D8:D45)</f>
        <v>Charlie</v>
      </c>
    </row>
    <row r="10" spans="1:14" x14ac:dyDescent="0.35">
      <c r="A10">
        <v>422118</v>
      </c>
      <c r="G10">
        <v>14</v>
      </c>
      <c r="H10">
        <v>16</v>
      </c>
      <c r="L10">
        <v>10</v>
      </c>
      <c r="M10">
        <v>20</v>
      </c>
      <c r="N10" t="str">
        <f>_xlfn.XLOOKUP('Line downtime'!A10,'Line productivity'!C9:C46,'Line productivity'!D9:D46)</f>
        <v>Dee</v>
      </c>
    </row>
    <row r="11" spans="1:14" x14ac:dyDescent="0.35">
      <c r="A11">
        <v>422119</v>
      </c>
      <c r="E11">
        <v>25</v>
      </c>
      <c r="N11" t="str">
        <f>_xlfn.XLOOKUP('Line downtime'!A11,'Line productivity'!C10:C47,'Line productivity'!D10:D47)</f>
        <v>Dee</v>
      </c>
    </row>
    <row r="12" spans="1:14" x14ac:dyDescent="0.35">
      <c r="A12">
        <v>422120</v>
      </c>
      <c r="E12">
        <v>20</v>
      </c>
      <c r="F12">
        <v>15</v>
      </c>
      <c r="J12">
        <v>17</v>
      </c>
      <c r="N12" t="str">
        <f>_xlfn.XLOOKUP('Line downtime'!A12,'Line productivity'!C11:C48,'Line productivity'!D11:D48)</f>
        <v>Dee</v>
      </c>
    </row>
    <row r="13" spans="1:14" x14ac:dyDescent="0.35">
      <c r="A13">
        <v>422121</v>
      </c>
      <c r="H13">
        <v>15</v>
      </c>
      <c r="N13" t="str">
        <f>_xlfn.XLOOKUP('Line downtime'!A13,'Line productivity'!C12:C49,'Line productivity'!D12:D49)</f>
        <v>Dennis</v>
      </c>
    </row>
    <row r="14" spans="1:14" x14ac:dyDescent="0.35">
      <c r="A14">
        <v>422122</v>
      </c>
      <c r="H14">
        <v>25</v>
      </c>
      <c r="N14" t="str">
        <f>_xlfn.XLOOKUP('Line downtime'!A14,'Line productivity'!C13:C50,'Line productivity'!D13:D50)</f>
        <v>Dennis</v>
      </c>
    </row>
    <row r="15" spans="1:14" x14ac:dyDescent="0.35">
      <c r="A15">
        <v>422123</v>
      </c>
      <c r="E15">
        <v>43</v>
      </c>
      <c r="H15">
        <v>30</v>
      </c>
      <c r="N15" t="str">
        <f>_xlfn.XLOOKUP('Line downtime'!A15,'Line productivity'!C14:C51,'Line productivity'!D14:D51)</f>
        <v>Dennis</v>
      </c>
    </row>
    <row r="16" spans="1:14" x14ac:dyDescent="0.35">
      <c r="A16">
        <v>422124</v>
      </c>
      <c r="F16">
        <v>20</v>
      </c>
      <c r="G16">
        <v>20</v>
      </c>
      <c r="N16" t="str">
        <f>_xlfn.XLOOKUP('Line downtime'!A16,'Line productivity'!C15:C52,'Line productivity'!D15:D52)</f>
        <v>Dennis</v>
      </c>
    </row>
    <row r="17" spans="1:14" x14ac:dyDescent="0.35">
      <c r="A17">
        <v>422125</v>
      </c>
      <c r="L17">
        <v>10</v>
      </c>
      <c r="M17">
        <v>10</v>
      </c>
      <c r="N17" t="str">
        <f>_xlfn.XLOOKUP('Line downtime'!A17,'Line productivity'!C16:C53,'Line productivity'!D16:D53)</f>
        <v>Charlie</v>
      </c>
    </row>
    <row r="18" spans="1:14" x14ac:dyDescent="0.35">
      <c r="A18">
        <v>422126</v>
      </c>
      <c r="I18">
        <v>44</v>
      </c>
      <c r="N18" t="str">
        <f>_xlfn.XLOOKUP('Line downtime'!A18,'Line productivity'!C17:C54,'Line productivity'!D17:D54)</f>
        <v>Charlie</v>
      </c>
    </row>
    <row r="19" spans="1:14" x14ac:dyDescent="0.35">
      <c r="A19">
        <v>422127</v>
      </c>
      <c r="G19">
        <v>23</v>
      </c>
      <c r="N19" t="str">
        <f>_xlfn.XLOOKUP('Line downtime'!A19,'Line productivity'!C18:C55,'Line productivity'!D18:D55)</f>
        <v>Charlie</v>
      </c>
    </row>
    <row r="20" spans="1:14" x14ac:dyDescent="0.35">
      <c r="A20">
        <v>422128</v>
      </c>
      <c r="F20">
        <v>22</v>
      </c>
      <c r="H20">
        <v>30</v>
      </c>
      <c r="N20" t="str">
        <f>_xlfn.XLOOKUP('Line downtime'!A20,'Line productivity'!C19:C56,'Line productivity'!D19:D56)</f>
        <v>Charlie</v>
      </c>
    </row>
    <row r="21" spans="1:14" x14ac:dyDescent="0.35">
      <c r="A21">
        <v>422129</v>
      </c>
      <c r="M21">
        <v>15</v>
      </c>
      <c r="N21" t="str">
        <f>_xlfn.XLOOKUP('Line downtime'!A21,'Line productivity'!C20:C57,'Line productivity'!D20:D57)</f>
        <v>Charlie</v>
      </c>
    </row>
    <row r="22" spans="1:14" x14ac:dyDescent="0.35">
      <c r="A22">
        <v>422130</v>
      </c>
      <c r="C22">
        <v>20</v>
      </c>
      <c r="N22" t="str">
        <f>_xlfn.XLOOKUP('Line downtime'!A22,'Line productivity'!C21:C58,'Line productivity'!D21:D58)</f>
        <v>Dee</v>
      </c>
    </row>
    <row r="23" spans="1:14" x14ac:dyDescent="0.35">
      <c r="A23">
        <v>422131</v>
      </c>
      <c r="E23">
        <v>20</v>
      </c>
      <c r="K23">
        <v>10</v>
      </c>
      <c r="N23" t="str">
        <f>_xlfn.XLOOKUP('Line downtime'!A23,'Line productivity'!C22:C59,'Line productivity'!D22:D59)</f>
        <v>Dee</v>
      </c>
    </row>
    <row r="24" spans="1:14" x14ac:dyDescent="0.35">
      <c r="A24">
        <v>422132</v>
      </c>
      <c r="N24" t="str">
        <f>_xlfn.XLOOKUP('Line downtime'!A24,'Line productivity'!C23:C60,'Line productivity'!D23:D60)</f>
        <v>Dee</v>
      </c>
    </row>
    <row r="25" spans="1:14" x14ac:dyDescent="0.35">
      <c r="A25">
        <v>422133</v>
      </c>
      <c r="H25">
        <v>20</v>
      </c>
      <c r="N25" t="str">
        <f>_xlfn.XLOOKUP('Line downtime'!A25,'Line productivity'!C24:C61,'Line productivity'!D24:D61)</f>
        <v>Dee</v>
      </c>
    </row>
    <row r="26" spans="1:14" x14ac:dyDescent="0.35">
      <c r="A26">
        <v>422134</v>
      </c>
      <c r="H26">
        <v>30</v>
      </c>
      <c r="I26">
        <v>20</v>
      </c>
      <c r="N26" t="str">
        <f>_xlfn.XLOOKUP('Line downtime'!A26,'Line productivity'!C25:C62,'Line productivity'!D25:D62)</f>
        <v>Mac</v>
      </c>
    </row>
    <row r="27" spans="1:14" x14ac:dyDescent="0.35">
      <c r="A27">
        <v>422135</v>
      </c>
      <c r="E27">
        <v>30</v>
      </c>
      <c r="M27">
        <v>15</v>
      </c>
      <c r="N27" t="str">
        <f>_xlfn.XLOOKUP('Line downtime'!A27,'Line productivity'!C26:C63,'Line productivity'!D26:D63)</f>
        <v>Mac</v>
      </c>
    </row>
    <row r="28" spans="1:14" x14ac:dyDescent="0.35">
      <c r="A28">
        <v>422136</v>
      </c>
      <c r="N28" t="str">
        <f>_xlfn.XLOOKUP('Line downtime'!A28,'Line productivity'!C27:C64,'Line productivity'!D27:D64)</f>
        <v>Mac</v>
      </c>
    </row>
    <row r="29" spans="1:14" x14ac:dyDescent="0.35">
      <c r="A29">
        <v>422137</v>
      </c>
      <c r="I29">
        <v>30</v>
      </c>
      <c r="K29">
        <v>15</v>
      </c>
      <c r="N29" t="str">
        <f>_xlfn.XLOOKUP('Line downtime'!A29,'Line productivity'!C28:C65,'Line productivity'!D28:D65)</f>
        <v>Dee</v>
      </c>
    </row>
    <row r="30" spans="1:14" x14ac:dyDescent="0.35">
      <c r="A30">
        <v>422138</v>
      </c>
      <c r="D30">
        <v>20</v>
      </c>
      <c r="N30" t="str">
        <f>_xlfn.XLOOKUP('Line downtime'!A30,'Line productivity'!C29:C66,'Line productivity'!D29:D66)</f>
        <v>Dee</v>
      </c>
    </row>
    <row r="31" spans="1:14" x14ac:dyDescent="0.35">
      <c r="A31">
        <v>422139</v>
      </c>
      <c r="E31">
        <v>20</v>
      </c>
      <c r="G31">
        <v>15</v>
      </c>
      <c r="N31" t="str">
        <f>_xlfn.XLOOKUP('Line downtime'!A31,'Line productivity'!C30:C67,'Line productivity'!D30:D67)</f>
        <v>Dee</v>
      </c>
    </row>
    <row r="32" spans="1:14" x14ac:dyDescent="0.35">
      <c r="A32">
        <v>422140</v>
      </c>
      <c r="G32">
        <v>50</v>
      </c>
      <c r="L32">
        <v>13</v>
      </c>
      <c r="N32" t="str">
        <f>_xlfn.XLOOKUP('Line downtime'!A32,'Line productivity'!C31:C68,'Line productivity'!D31:D68)</f>
        <v>Dee</v>
      </c>
    </row>
    <row r="33" spans="1:14" x14ac:dyDescent="0.35">
      <c r="A33">
        <v>422141</v>
      </c>
      <c r="M33">
        <v>7</v>
      </c>
      <c r="N33" t="str">
        <f>_xlfn.XLOOKUP('Line downtime'!A33,'Line productivity'!C32:C69,'Line productivity'!D32:D69)</f>
        <v>Dennis</v>
      </c>
    </row>
    <row r="34" spans="1:14" x14ac:dyDescent="0.35">
      <c r="A34">
        <v>422142</v>
      </c>
      <c r="G34">
        <v>30</v>
      </c>
      <c r="N34" t="str">
        <f>_xlfn.XLOOKUP('Line downtime'!A34,'Line productivity'!C33:C70,'Line productivity'!D33:D70)</f>
        <v>Dennis</v>
      </c>
    </row>
    <row r="35" spans="1:14" x14ac:dyDescent="0.35">
      <c r="A35">
        <v>422143</v>
      </c>
      <c r="G35">
        <v>40</v>
      </c>
      <c r="H35">
        <v>18</v>
      </c>
      <c r="N35" t="str">
        <f>_xlfn.XLOOKUP('Line downtime'!A35,'Line productivity'!C34:C71,'Line productivity'!D34:D71)</f>
        <v>Dennis</v>
      </c>
    </row>
    <row r="36" spans="1:14" x14ac:dyDescent="0.35">
      <c r="A36">
        <v>422144</v>
      </c>
      <c r="G36">
        <v>30</v>
      </c>
      <c r="I36">
        <v>24</v>
      </c>
      <c r="N36" t="str">
        <f>_xlfn.XLOOKUP('Line downtime'!A36,'Line productivity'!C35:C72,'Line productivity'!D35:D72)</f>
        <v>Dennis</v>
      </c>
    </row>
    <row r="37" spans="1:14" x14ac:dyDescent="0.35">
      <c r="A37">
        <v>422145</v>
      </c>
      <c r="D37">
        <v>22</v>
      </c>
      <c r="N37" t="str">
        <f>_xlfn.XLOOKUP('Line downtime'!A37,'Line productivity'!C36:C73,'Line productivity'!D36:D73)</f>
        <v>Charlie</v>
      </c>
    </row>
    <row r="38" spans="1:14" x14ac:dyDescent="0.35">
      <c r="A38">
        <v>422146</v>
      </c>
      <c r="G38">
        <v>30</v>
      </c>
      <c r="H38">
        <v>25</v>
      </c>
      <c r="M38">
        <v>7</v>
      </c>
      <c r="N38" t="str">
        <f>_xlfn.XLOOKUP('Line downtime'!A38,'Line productivity'!C37:C74,'Line productivity'!D37:D74)</f>
        <v>Charlie</v>
      </c>
    </row>
    <row r="39" spans="1:14" x14ac:dyDescent="0.35">
      <c r="A39">
        <v>422147</v>
      </c>
      <c r="E39">
        <v>17</v>
      </c>
      <c r="G39">
        <v>60</v>
      </c>
      <c r="H39">
        <v>30</v>
      </c>
      <c r="N39" t="str">
        <f>_xlfn.XLOOKUP('Line downtime'!A39,'Line productivity'!C38:C75,'Line productivity'!D38:D75)</f>
        <v>Charlie</v>
      </c>
    </row>
    <row r="40" spans="1:14" x14ac:dyDescent="0.35">
      <c r="A40">
        <v>422148</v>
      </c>
      <c r="E40">
        <v>25</v>
      </c>
      <c r="I40">
        <v>7</v>
      </c>
      <c r="N40" t="str">
        <f>_xlfn.XLOOKUP('Line downtime'!A40,'Line productivity'!C39:C76,'Line productivity'!D39:D76)</f>
        <v>Mac</v>
      </c>
    </row>
    <row r="42" spans="1:14" x14ac:dyDescent="0.35">
      <c r="A42" t="s">
        <v>52</v>
      </c>
      <c r="B42">
        <f>SUM(B3:B40)</f>
        <v>0</v>
      </c>
      <c r="C42">
        <f t="shared" ref="C42:M42" si="0">SUM(C3:C40)</f>
        <v>160</v>
      </c>
      <c r="D42">
        <f t="shared" si="0"/>
        <v>42</v>
      </c>
      <c r="E42">
        <f t="shared" si="0"/>
        <v>225</v>
      </c>
      <c r="F42">
        <f t="shared" si="0"/>
        <v>57</v>
      </c>
      <c r="G42">
        <f t="shared" si="0"/>
        <v>332</v>
      </c>
      <c r="H42">
        <f t="shared" si="0"/>
        <v>254</v>
      </c>
      <c r="I42">
        <f t="shared" si="0"/>
        <v>145</v>
      </c>
      <c r="J42">
        <f t="shared" si="0"/>
        <v>17</v>
      </c>
      <c r="K42">
        <f t="shared" si="0"/>
        <v>49</v>
      </c>
      <c r="L42">
        <f t="shared" si="0"/>
        <v>33</v>
      </c>
      <c r="M42">
        <f t="shared" si="0"/>
        <v>74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Line productivity</vt:lpstr>
      <vt:lpstr>EFFICIENCY 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Esther Maina</cp:lastModifiedBy>
  <dcterms:created xsi:type="dcterms:W3CDTF">2024-08-19T19:52:48Z</dcterms:created>
  <dcterms:modified xsi:type="dcterms:W3CDTF">2026-04-24T16:36:27Z</dcterms:modified>
</cp:coreProperties>
</file>